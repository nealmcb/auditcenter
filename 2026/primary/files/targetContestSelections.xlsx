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T:\Elections\Voting Systems\CORLA\_Elections\2026\SP\_Audit Center\"/>
    </mc:Choice>
  </mc:AlternateContent>
  <xr:revisionPtr revIDLastSave="0" documentId="8_{13A0CE5D-5C29-43D6-8CD2-5FA958FD9472}" xr6:coauthVersionLast="47" xr6:coauthVersionMax="47" xr10:uidLastSave="{00000000-0000-0000-0000-000000000000}"/>
  <bookViews>
    <workbookView xWindow="-108" yWindow="-108" windowWidth="23256" windowHeight="12456" xr2:uid="{39502D2F-C7E0-44D3-AB55-DF2E55B6C4E4}"/>
  </bookViews>
  <sheets>
    <sheet name="Sheet1" sheetId="1" r:id="rId1"/>
  </sheets>
  <definedNames>
    <definedName name="_xlnm._FilterDatabase" localSheetId="0" hidden="1">Sheet1!$A$2:$AB$115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4" i="1" l="1"/>
  <c r="AA5" i="1" s="1"/>
  <c r="AA6" i="1" s="1"/>
  <c r="AA7" i="1" s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AA84" i="1" s="1"/>
  <c r="AA85" i="1" s="1"/>
  <c r="AA86" i="1" s="1"/>
  <c r="AA87" i="1" s="1"/>
  <c r="AA88" i="1" s="1"/>
  <c r="AA89" i="1" s="1"/>
  <c r="AA90" i="1" s="1"/>
  <c r="AA91" i="1" s="1"/>
  <c r="AA92" i="1" s="1"/>
  <c r="AA93" i="1" s="1"/>
  <c r="AA94" i="1" s="1"/>
  <c r="AA95" i="1" s="1"/>
  <c r="AA96" i="1" s="1"/>
  <c r="AA97" i="1" s="1"/>
  <c r="AA98" i="1" s="1"/>
  <c r="AA99" i="1" s="1"/>
  <c r="AA100" i="1" s="1"/>
  <c r="AA101" i="1" s="1"/>
  <c r="AA102" i="1" s="1"/>
  <c r="AA103" i="1" s="1"/>
  <c r="AA104" i="1" s="1"/>
  <c r="AA105" i="1" s="1"/>
  <c r="AA106" i="1" s="1"/>
  <c r="AA107" i="1" s="1"/>
  <c r="AA108" i="1" s="1"/>
  <c r="AA109" i="1" s="1"/>
  <c r="AA110" i="1" s="1"/>
  <c r="AA111" i="1" s="1"/>
  <c r="AA112" i="1" s="1"/>
  <c r="AA113" i="1" s="1"/>
  <c r="AA114" i="1" s="1"/>
  <c r="AA115" i="1" s="1"/>
  <c r="AA116" i="1" s="1"/>
  <c r="AA117" i="1" s="1"/>
  <c r="AA118" i="1" s="1"/>
  <c r="AA119" i="1" s="1"/>
  <c r="AA120" i="1" s="1"/>
  <c r="AA121" i="1" s="1"/>
  <c r="AA3" i="1"/>
</calcChain>
</file>

<file path=xl/sharedStrings.xml><?xml version="1.0" encoding="utf-8"?>
<sst xmlns="http://schemas.openxmlformats.org/spreadsheetml/2006/main" count="326" uniqueCount="117">
  <si>
    <t>2026 Primary Election Target Contest Selections</t>
  </si>
  <si>
    <t>County</t>
  </si>
  <si>
    <t>Contest</t>
  </si>
  <si>
    <t>Vote For</t>
  </si>
  <si>
    <t>Lowest Winner</t>
  </si>
  <si>
    <t>Highest Loser</t>
  </si>
  <si>
    <t>Contest Margin</t>
  </si>
  <si>
    <t>Diluted Margin</t>
  </si>
  <si>
    <t>Risk Limit</t>
  </si>
  <si>
    <t>Estimated # of CVRs to audit</t>
  </si>
  <si>
    <t># of CVR</t>
  </si>
  <si>
    <t>Remarks</t>
  </si>
  <si>
    <t>Colorado</t>
  </si>
  <si>
    <t>United States Senator - Democratic Party</t>
  </si>
  <si>
    <t>Audited in all 63 counties</t>
  </si>
  <si>
    <t>Adams</t>
  </si>
  <si>
    <t>Attorney General - Republican Party</t>
  </si>
  <si>
    <t>Single county audit</t>
  </si>
  <si>
    <t>State Senator - District 21 - Democratic Party</t>
  </si>
  <si>
    <t>Alamosa</t>
  </si>
  <si>
    <t>Alamosa County Assessor - Democratic Party</t>
  </si>
  <si>
    <t>Arapahoe</t>
  </si>
  <si>
    <t>Arapahoe County Commissioner - District 2 - Democratic Party</t>
  </si>
  <si>
    <t>Archuleta</t>
  </si>
  <si>
    <t>Attorney General - Democratic Party</t>
  </si>
  <si>
    <t>Archuleta County Commissioner - District 3 - Republican Party</t>
  </si>
  <si>
    <t>Baca</t>
  </si>
  <si>
    <t>Baca County Commissioner - District 2 - Republican Party</t>
  </si>
  <si>
    <t>Bent</t>
  </si>
  <si>
    <t>Governor - Democratic Party</t>
  </si>
  <si>
    <t>Boulder</t>
  </si>
  <si>
    <t>Representative to the 120th United States Congress - District 2 - Republican Party</t>
  </si>
  <si>
    <t>Broomfield</t>
  </si>
  <si>
    <t>State Representative - District 33 - Democratic Party</t>
  </si>
  <si>
    <t>Chaffee</t>
  </si>
  <si>
    <t>Secretary of State - Democratic Party</t>
  </si>
  <si>
    <t>Regent of the University of Colorado - Congressional District 7 - Republican Party</t>
  </si>
  <si>
    <t>Cheyenne</t>
  </si>
  <si>
    <t>Governor - Republican Party</t>
  </si>
  <si>
    <t>Clear Creek</t>
  </si>
  <si>
    <t>Conejos</t>
  </si>
  <si>
    <t>Conejos County Coroner - Republican Party</t>
  </si>
  <si>
    <t>Costilla</t>
  </si>
  <si>
    <t>Representative to the 120th United States Congress - District 3 - Republican Party</t>
  </si>
  <si>
    <t>Costilla County Assessor - Democratic Party</t>
  </si>
  <si>
    <t>Crowley</t>
  </si>
  <si>
    <t>Custer</t>
  </si>
  <si>
    <t>Delta</t>
  </si>
  <si>
    <t>Denver</t>
  </si>
  <si>
    <t>State Representative - District 5 - Democratic Party</t>
  </si>
  <si>
    <t>Dolores</t>
  </si>
  <si>
    <t>Douglas</t>
  </si>
  <si>
    <t>Douglas County Commissioner - District 1 - Republican Party</t>
  </si>
  <si>
    <t>Eagle</t>
  </si>
  <si>
    <t>Eagle County Sheriff - Democratic Party</t>
  </si>
  <si>
    <t>El Paso</t>
  </si>
  <si>
    <t>El Paso County Commissioner - District 1 - Republican Party</t>
  </si>
  <si>
    <t>El Paso County Commissioner - District 5 - Democratic Party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</si>
  <si>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</si>
  <si>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</si>
  <si>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</si>
  <si>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</si>
  <si>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</si>
  <si>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</si>
  <si>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</si>
  <si>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</si>
  <si>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Huerfano County Sheriff - Republican Party</t>
  </si>
  <si>
    <t>Jackson</t>
  </si>
  <si>
    <t>Jackson County Clerk and Recorder - Republican Party</t>
  </si>
  <si>
    <t>Jefferson</t>
  </si>
  <si>
    <t>Jefferson County Assessor - Democratic Party</t>
  </si>
  <si>
    <t>Kiowa</t>
  </si>
  <si>
    <t>Kiowa County Sheriff - Republican Party</t>
  </si>
  <si>
    <t>Kit Carson</t>
  </si>
  <si>
    <t>La Plata</t>
  </si>
  <si>
    <t>Representative to the 120th United States Congress - District 3 - Democratic Party</t>
  </si>
  <si>
    <t>Lake</t>
  </si>
  <si>
    <t>Lake County Sheriff - Republican Party</t>
  </si>
  <si>
    <t>Lake County Coroner - Democratic Party</t>
  </si>
  <si>
    <t>Larimer</t>
  </si>
  <si>
    <t>State Representative - District 51 - Republican Party</t>
  </si>
  <si>
    <t>Las Animas</t>
  </si>
  <si>
    <t>Lincoln</t>
  </si>
  <si>
    <t>Logan</t>
  </si>
  <si>
    <t>Mesa</t>
  </si>
  <si>
    <t>Mineral</t>
  </si>
  <si>
    <t>Moffat</t>
  </si>
  <si>
    <t>Moffat County Commissioner - District 3 - Republican Party</t>
  </si>
  <si>
    <t>Montezuma</t>
  </si>
  <si>
    <t>Montezuma County Commissioner - District 1 - Republican Party</t>
  </si>
  <si>
    <t>Montrose</t>
  </si>
  <si>
    <t>Morgan</t>
  </si>
  <si>
    <t>Otero</t>
  </si>
  <si>
    <t>Ouray</t>
  </si>
  <si>
    <t>Park</t>
  </si>
  <si>
    <t>Park County Commissioner - District 3 - Republican Party</t>
  </si>
  <si>
    <t>Phillips</t>
  </si>
  <si>
    <t>Pitkin</t>
  </si>
  <si>
    <t>Prowers</t>
  </si>
  <si>
    <t>Pueblo</t>
  </si>
  <si>
    <t>State Senator - District 3 - Democratic Party</t>
  </si>
  <si>
    <t>Rio Blanco</t>
  </si>
  <si>
    <t>Rio Blanco County Commissioner - District 1 - Republican Party</t>
  </si>
  <si>
    <t>Rio Grande</t>
  </si>
  <si>
    <t>Rio Grande County Commissioner - District 2 - Republican Party</t>
  </si>
  <si>
    <t>Routt</t>
  </si>
  <si>
    <t>Regent of the University of Colorado - Congressional District 2 - Democratic Party</t>
  </si>
  <si>
    <t>Saguache</t>
  </si>
  <si>
    <t>San Miguel</t>
  </si>
  <si>
    <t>Sedgwick</t>
  </si>
  <si>
    <t>Summit</t>
  </si>
  <si>
    <t>Teller</t>
  </si>
  <si>
    <t>Washington</t>
  </si>
  <si>
    <t>Washington County Commissioner - District 1 - Republican Party</t>
  </si>
  <si>
    <t>Weld</t>
  </si>
  <si>
    <t>State Representative - District 19 - Democratic Party</t>
  </si>
  <si>
    <t>Yuma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</si>
</sst>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9" fontId="2" fillId="0" borderId="0" xfId="0" applyNumberFormat="1" applyFont="1"/>
    <xf numFmtId="3" fontId="2" fillId="0" borderId="0" xfId="0" applyNumberFormat="1" applyFont="1"/>
    <xf numFmtId="0" fontId="2" fillId="0" borderId="0" xfId="0" applyFont="1"/>
    <xf numFmtId="0" fontId="2" fillId="0" borderId="2" xfId="0" applyFont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0" fontId="2" fillId="0" borderId="2" xfId="2" applyNumberFormat="1" applyFont="1" applyBorder="1" applyAlignment="1">
      <alignment horizontal="center"/>
    </xf>
    <xf numFmtId="9" fontId="2" fillId="0" borderId="2" xfId="2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10" fontId="2" fillId="0" borderId="2" xfId="0" applyNumberFormat="1" applyFont="1" applyBorder="1" applyAlignment="1">
      <alignment horizontal="center"/>
    </xf>
    <xf numFmtId="9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164" fontId="3" fillId="0" borderId="2" xfId="1" applyNumberFormat="1" applyFont="1" applyBorder="1"/>
    <xf numFmtId="10" fontId="3" fillId="0" borderId="2" xfId="2" applyNumberFormat="1" applyFont="1" applyBorder="1"/>
    <xf numFmtId="9" fontId="3" fillId="0" borderId="2" xfId="2" applyFont="1" applyBorder="1"/>
    <xf numFmtId="3" fontId="3" fillId="0" borderId="2" xfId="0" applyNumberFormat="1" applyFont="1" applyBorder="1"/>
    <xf numFmtId="10" fontId="3" fillId="0" borderId="2" xfId="0" applyNumberFormat="1" applyFont="1" applyBorder="1"/>
    <xf numFmtId="9" fontId="3" fillId="0" borderId="0" xfId="0" applyNumberFormat="1" applyFont="1"/>
    <xf numFmtId="3" fontId="3" fillId="0" borderId="0" xfId="0" applyNumberFormat="1" applyFont="1"/>
    <xf numFmtId="0" fontId="3" fillId="0" borderId="0" xfId="0" applyFont="1"/>
    <xf numFmtId="10" fontId="4" fillId="0" borderId="2" xfId="0" applyNumberFormat="1" applyFont="1" applyBorder="1"/>
    <xf numFmtId="0" fontId="3" fillId="0" borderId="0" xfId="0" applyFont="1" applyAlignment="1">
      <alignment horizontal="center"/>
    </xf>
    <xf numFmtId="164" fontId="3" fillId="0" borderId="0" xfId="1" applyNumberFormat="1" applyFont="1"/>
    <xf numFmtId="10" fontId="3" fillId="0" borderId="0" xfId="2" applyNumberFormat="1" applyFont="1"/>
    <xf numFmtId="9" fontId="3" fillId="0" borderId="0" xfId="2" applyFont="1"/>
    <xf numFmtId="10" fontId="3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0" fontId="2" fillId="0" borderId="1" xfId="0" applyFont="1" applyBorder="1" applyAlignment="1"/>
  </cellXfs>
  <cellStyles count="3">
    <cellStyle name="Comma" xfId="1" builtinId="3"/>
    <cellStyle name="Normal" xfId="0" builtinId="0"/>
    <cellStyle name="Percent" xfId="2" builtinId="5"/>
  </cellStyles>
  <dxfs count="1">
    <dxf>
      <fill>
        <patternFill>
          <bgColor theme="3" tint="0.899960325937681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982F-FF38-4841-BD46-E4C2CAF1530E}">
  <dimension ref="A1:AA121"/>
  <sheetViews>
    <sheetView tabSelected="1" zoomScale="120" zoomScaleNormal="120" workbookViewId="0">
      <pane ySplit="2" topLeftCell="A3" activePane="bottomLeft" state="frozenSplit"/>
      <selection pane="bottomLeft" activeCell="A3" sqref="A3"/>
    </sheetView>
  </sheetViews>
  <sheetFormatPr defaultColWidth="8.85546875" defaultRowHeight="14.45"/>
  <cols>
    <col min="1" max="1" width="11.5703125" style="22" bestFit="1" customWidth="1"/>
    <col min="2" max="2" width="73" style="22" bestFit="1" customWidth="1"/>
    <col min="3" max="3" width="8.42578125" style="24" bestFit="1" customWidth="1"/>
    <col min="4" max="4" width="16" style="25" bestFit="1" customWidth="1"/>
    <col min="5" max="5" width="15" style="25" bestFit="1" customWidth="1"/>
    <col min="6" max="6" width="16.28515625" style="25" bestFit="1" customWidth="1"/>
    <col min="7" max="7" width="14.28515625" style="26" bestFit="1" customWidth="1"/>
    <col min="8" max="8" width="9.85546875" style="27" bestFit="1" customWidth="1"/>
    <col min="9" max="9" width="27" style="21" bestFit="1" customWidth="1"/>
    <col min="10" max="10" width="8.5703125" style="21" bestFit="1" customWidth="1"/>
    <col min="11" max="11" width="23.42578125" style="28" bestFit="1" customWidth="1"/>
    <col min="12" max="12" width="5.7109375" style="20" customWidth="1"/>
    <col min="13" max="13" width="9.7109375" style="21" customWidth="1"/>
    <col min="14" max="14" width="8.85546875" style="21"/>
    <col min="15" max="26" width="8.85546875" style="22"/>
    <col min="27" max="27" width="5.7109375" bestFit="1" customWidth="1"/>
    <col min="28" max="16384" width="8.85546875" style="22"/>
  </cols>
  <sheetData>
    <row r="1" spans="1:27" s="3" customFormat="1" ht="15" thickBo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1"/>
      <c r="M1" s="2"/>
      <c r="N1" s="2"/>
      <c r="AA1" s="29"/>
    </row>
    <row r="2" spans="1:27" s="12" customFormat="1" ht="15" thickBot="1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7" t="s">
        <v>8</v>
      </c>
      <c r="I2" s="31" t="s">
        <v>9</v>
      </c>
      <c r="J2" s="8" t="s">
        <v>10</v>
      </c>
      <c r="K2" s="9" t="s">
        <v>11</v>
      </c>
      <c r="L2" s="10"/>
      <c r="M2" s="11"/>
      <c r="N2" s="11"/>
      <c r="AA2" s="30"/>
    </row>
    <row r="3" spans="1:27" ht="15" thickBot="1">
      <c r="A3" s="13" t="s">
        <v>12</v>
      </c>
      <c r="B3" s="13" t="s">
        <v>13</v>
      </c>
      <c r="C3" s="14">
        <v>1</v>
      </c>
      <c r="D3" s="15">
        <v>416859</v>
      </c>
      <c r="E3" s="15">
        <v>340410</v>
      </c>
      <c r="F3" s="15">
        <v>76449</v>
      </c>
      <c r="G3" s="16">
        <v>6.1328761760515473E-2</v>
      </c>
      <c r="H3" s="17">
        <v>0.03</v>
      </c>
      <c r="I3" s="18">
        <v>118</v>
      </c>
      <c r="J3" s="18">
        <v>84351</v>
      </c>
      <c r="K3" s="19" t="s">
        <v>14</v>
      </c>
      <c r="AA3">
        <f>IF(A3=A2,AA2,1+AA2)</f>
        <v>1</v>
      </c>
    </row>
    <row r="4" spans="1:27" ht="15" thickBot="1">
      <c r="A4" s="13" t="s">
        <v>15</v>
      </c>
      <c r="B4" s="13" t="s">
        <v>16</v>
      </c>
      <c r="C4" s="14">
        <v>1</v>
      </c>
      <c r="D4" s="15">
        <v>14626</v>
      </c>
      <c r="E4" s="15">
        <v>10845</v>
      </c>
      <c r="F4" s="15">
        <v>3781</v>
      </c>
      <c r="G4" s="16">
        <v>4.4824601960854048E-2</v>
      </c>
      <c r="H4" s="17">
        <v>0.03</v>
      </c>
      <c r="I4" s="18">
        <v>162</v>
      </c>
      <c r="J4" s="18">
        <v>84351</v>
      </c>
      <c r="K4" s="19" t="s">
        <v>17</v>
      </c>
      <c r="AA4">
        <f t="shared" ref="AA4:AA67" si="0">IF(A4=A3,AA3,1+AA3)</f>
        <v>2</v>
      </c>
    </row>
    <row r="5" spans="1:27" ht="15" thickBot="1">
      <c r="A5" s="13" t="s">
        <v>15</v>
      </c>
      <c r="B5" s="13" t="s">
        <v>18</v>
      </c>
      <c r="C5" s="14">
        <v>1</v>
      </c>
      <c r="D5" s="15">
        <v>9112</v>
      </c>
      <c r="E5" s="15">
        <v>5011</v>
      </c>
      <c r="F5" s="15">
        <v>4101</v>
      </c>
      <c r="G5" s="16">
        <v>4.8618273642280468E-2</v>
      </c>
      <c r="H5" s="17">
        <v>0.03</v>
      </c>
      <c r="I5" s="18">
        <v>149</v>
      </c>
      <c r="J5" s="18">
        <v>22271</v>
      </c>
      <c r="K5" s="19" t="s">
        <v>17</v>
      </c>
      <c r="AA5">
        <f t="shared" si="0"/>
        <v>2</v>
      </c>
    </row>
    <row r="6" spans="1:27" ht="15" thickBot="1">
      <c r="A6" s="13" t="s">
        <v>19</v>
      </c>
      <c r="B6" s="13" t="s">
        <v>16</v>
      </c>
      <c r="C6" s="14">
        <v>1</v>
      </c>
      <c r="D6" s="15">
        <v>885</v>
      </c>
      <c r="E6" s="15">
        <v>541</v>
      </c>
      <c r="F6" s="15">
        <v>344</v>
      </c>
      <c r="G6" s="16">
        <v>0.10017472335468841</v>
      </c>
      <c r="H6" s="17">
        <v>0.03</v>
      </c>
      <c r="I6" s="18">
        <v>72</v>
      </c>
      <c r="J6" s="18">
        <v>3434</v>
      </c>
      <c r="K6" s="19" t="s">
        <v>17</v>
      </c>
      <c r="AA6">
        <f t="shared" si="0"/>
        <v>3</v>
      </c>
    </row>
    <row r="7" spans="1:27" ht="15" thickBot="1">
      <c r="A7" s="13" t="s">
        <v>19</v>
      </c>
      <c r="B7" s="13" t="s">
        <v>20</v>
      </c>
      <c r="C7" s="14">
        <v>1</v>
      </c>
      <c r="D7" s="15">
        <v>889</v>
      </c>
      <c r="E7" s="15">
        <v>630</v>
      </c>
      <c r="F7" s="15">
        <v>259</v>
      </c>
      <c r="G7" s="16">
        <v>7.5422248107163664E-2</v>
      </c>
      <c r="H7" s="17">
        <v>0.03</v>
      </c>
      <c r="I7" s="18">
        <v>96</v>
      </c>
      <c r="J7" s="18">
        <v>3434</v>
      </c>
      <c r="K7" s="19"/>
      <c r="AA7">
        <f t="shared" si="0"/>
        <v>3</v>
      </c>
    </row>
    <row r="8" spans="1:27" ht="15" thickBot="1">
      <c r="A8" s="13" t="s">
        <v>21</v>
      </c>
      <c r="B8" s="13" t="s">
        <v>16</v>
      </c>
      <c r="C8" s="14">
        <v>1</v>
      </c>
      <c r="D8" s="15">
        <v>15616</v>
      </c>
      <c r="E8" s="15">
        <v>10357</v>
      </c>
      <c r="F8" s="15">
        <v>5259</v>
      </c>
      <c r="G8" s="16">
        <v>5.8861715820695056E-2</v>
      </c>
      <c r="H8" s="17">
        <v>0.03</v>
      </c>
      <c r="I8" s="18">
        <v>123</v>
      </c>
      <c r="J8" s="18">
        <v>89345</v>
      </c>
      <c r="K8" s="19" t="s">
        <v>17</v>
      </c>
      <c r="AA8">
        <f t="shared" si="0"/>
        <v>4</v>
      </c>
    </row>
    <row r="9" spans="1:27" ht="15" thickBot="1">
      <c r="A9" s="13" t="s">
        <v>21</v>
      </c>
      <c r="B9" s="13" t="s">
        <v>22</v>
      </c>
      <c r="C9" s="14">
        <v>1</v>
      </c>
      <c r="D9" s="15">
        <v>8838</v>
      </c>
      <c r="E9" s="15">
        <v>4477</v>
      </c>
      <c r="F9" s="15">
        <v>4361</v>
      </c>
      <c r="G9" s="16">
        <v>4.881078963568191E-2</v>
      </c>
      <c r="H9" s="17">
        <v>0.03</v>
      </c>
      <c r="I9" s="18">
        <v>149</v>
      </c>
      <c r="J9" s="18">
        <v>23404</v>
      </c>
      <c r="K9" s="19"/>
      <c r="AA9">
        <f t="shared" si="0"/>
        <v>4</v>
      </c>
    </row>
    <row r="10" spans="1:27" ht="15" thickBot="1">
      <c r="A10" s="13" t="s">
        <v>23</v>
      </c>
      <c r="B10" s="13" t="s">
        <v>24</v>
      </c>
      <c r="C10" s="14">
        <v>1</v>
      </c>
      <c r="D10" s="15">
        <v>1010</v>
      </c>
      <c r="E10" s="15">
        <v>284</v>
      </c>
      <c r="F10" s="15">
        <v>726</v>
      </c>
      <c r="G10" s="16">
        <v>0.15813548246569376</v>
      </c>
      <c r="H10" s="17">
        <v>0.03</v>
      </c>
      <c r="I10" s="18">
        <v>46</v>
      </c>
      <c r="J10" s="18">
        <v>4591</v>
      </c>
      <c r="K10" s="19" t="s">
        <v>17</v>
      </c>
      <c r="AA10">
        <f t="shared" si="0"/>
        <v>5</v>
      </c>
    </row>
    <row r="11" spans="1:27" ht="15" thickBot="1">
      <c r="A11" s="13" t="s">
        <v>23</v>
      </c>
      <c r="B11" s="13" t="s">
        <v>25</v>
      </c>
      <c r="C11" s="14">
        <v>1</v>
      </c>
      <c r="D11" s="15">
        <v>1796</v>
      </c>
      <c r="E11" s="15">
        <v>892</v>
      </c>
      <c r="F11" s="15">
        <v>904</v>
      </c>
      <c r="G11" s="16">
        <v>0.19690699194075365</v>
      </c>
      <c r="H11" s="17">
        <v>0.03</v>
      </c>
      <c r="I11" s="18">
        <v>37</v>
      </c>
      <c r="J11" s="18">
        <v>4588</v>
      </c>
      <c r="K11" s="19"/>
      <c r="AA11">
        <f t="shared" si="0"/>
        <v>5</v>
      </c>
    </row>
    <row r="12" spans="1:27" ht="15" thickBot="1">
      <c r="A12" s="13" t="s">
        <v>26</v>
      </c>
      <c r="B12" s="13" t="s">
        <v>27</v>
      </c>
      <c r="C12" s="14">
        <v>1</v>
      </c>
      <c r="D12" s="15">
        <v>568</v>
      </c>
      <c r="E12" s="15">
        <v>284</v>
      </c>
      <c r="F12" s="15">
        <v>284</v>
      </c>
      <c r="G12" s="16">
        <v>0.23885618166526493</v>
      </c>
      <c r="H12" s="17">
        <v>0.03</v>
      </c>
      <c r="I12" s="18">
        <v>30</v>
      </c>
      <c r="J12" s="18">
        <v>1189</v>
      </c>
      <c r="K12" s="19"/>
      <c r="AA12">
        <f t="shared" si="0"/>
        <v>6</v>
      </c>
    </row>
    <row r="13" spans="1:27" ht="15" thickBot="1">
      <c r="A13" s="13" t="s">
        <v>28</v>
      </c>
      <c r="B13" s="13" t="s">
        <v>29</v>
      </c>
      <c r="C13" s="14">
        <v>1</v>
      </c>
      <c r="D13" s="15">
        <v>233</v>
      </c>
      <c r="E13" s="15">
        <v>85</v>
      </c>
      <c r="F13" s="15">
        <v>148</v>
      </c>
      <c r="G13" s="16">
        <v>0.13962264150943396</v>
      </c>
      <c r="H13" s="17">
        <v>0.03</v>
      </c>
      <c r="I13" s="18">
        <v>52</v>
      </c>
      <c r="J13" s="18">
        <v>1060</v>
      </c>
      <c r="K13" s="19" t="s">
        <v>17</v>
      </c>
      <c r="AA13">
        <f t="shared" si="0"/>
        <v>7</v>
      </c>
    </row>
    <row r="14" spans="1:27" ht="15" thickBot="1">
      <c r="A14" s="13" t="s">
        <v>28</v>
      </c>
      <c r="B14" s="13" t="s">
        <v>16</v>
      </c>
      <c r="C14" s="14">
        <v>1</v>
      </c>
      <c r="D14" s="15">
        <v>369</v>
      </c>
      <c r="E14" s="15">
        <v>231</v>
      </c>
      <c r="F14" s="15">
        <v>138</v>
      </c>
      <c r="G14" s="16">
        <v>0.13018867924528302</v>
      </c>
      <c r="H14" s="17">
        <v>0.03</v>
      </c>
      <c r="I14" s="18">
        <v>55</v>
      </c>
      <c r="J14" s="18">
        <v>1060</v>
      </c>
      <c r="K14" s="19" t="s">
        <v>17</v>
      </c>
      <c r="AA14">
        <f t="shared" si="0"/>
        <v>7</v>
      </c>
    </row>
    <row r="15" spans="1:27" ht="15" thickBot="1">
      <c r="A15" s="13" t="s">
        <v>30</v>
      </c>
      <c r="B15" s="13" t="s">
        <v>24</v>
      </c>
      <c r="C15" s="14">
        <v>1</v>
      </c>
      <c r="D15" s="15">
        <v>22274</v>
      </c>
      <c r="E15" s="15">
        <v>18019</v>
      </c>
      <c r="F15" s="15">
        <v>4255</v>
      </c>
      <c r="G15" s="16">
        <v>6.2679531560727697E-2</v>
      </c>
      <c r="H15" s="17">
        <v>0.03</v>
      </c>
      <c r="I15" s="18">
        <v>116</v>
      </c>
      <c r="J15" s="18">
        <v>67885</v>
      </c>
      <c r="K15" s="19" t="s">
        <v>17</v>
      </c>
      <c r="AA15">
        <f t="shared" si="0"/>
        <v>8</v>
      </c>
    </row>
    <row r="16" spans="1:27" ht="15" thickBot="1">
      <c r="A16" s="13" t="s">
        <v>30</v>
      </c>
      <c r="B16" s="13" t="s">
        <v>31</v>
      </c>
      <c r="C16" s="14">
        <v>1</v>
      </c>
      <c r="D16" s="15">
        <v>4984</v>
      </c>
      <c r="E16" s="15">
        <v>3025</v>
      </c>
      <c r="F16" s="15">
        <v>1959</v>
      </c>
      <c r="G16" s="16">
        <v>2.8857626868969581E-2</v>
      </c>
      <c r="H16" s="17">
        <v>0.03</v>
      </c>
      <c r="I16" s="18">
        <v>252</v>
      </c>
      <c r="J16" s="18">
        <v>67881</v>
      </c>
      <c r="K16" s="19" t="s">
        <v>17</v>
      </c>
      <c r="AA16">
        <f t="shared" si="0"/>
        <v>8</v>
      </c>
    </row>
    <row r="17" spans="1:27" ht="15" thickBot="1">
      <c r="A17" s="13" t="s">
        <v>32</v>
      </c>
      <c r="B17" s="13" t="s">
        <v>16</v>
      </c>
      <c r="C17" s="14">
        <v>1</v>
      </c>
      <c r="D17" s="15">
        <v>3287</v>
      </c>
      <c r="E17" s="15">
        <v>2260</v>
      </c>
      <c r="F17" s="15">
        <v>1027</v>
      </c>
      <c r="G17" s="16">
        <v>4.5476686002745431E-2</v>
      </c>
      <c r="H17" s="17">
        <v>0.03</v>
      </c>
      <c r="I17" s="18">
        <v>160</v>
      </c>
      <c r="J17" s="18">
        <v>22583</v>
      </c>
      <c r="K17" s="19" t="s">
        <v>17</v>
      </c>
      <c r="AA17">
        <f t="shared" si="0"/>
        <v>9</v>
      </c>
    </row>
    <row r="18" spans="1:27" ht="15" thickBot="1">
      <c r="A18" s="13" t="s">
        <v>32</v>
      </c>
      <c r="B18" s="13" t="s">
        <v>33</v>
      </c>
      <c r="C18" s="14">
        <v>1</v>
      </c>
      <c r="D18" s="15">
        <v>8684</v>
      </c>
      <c r="E18" s="15">
        <v>7117</v>
      </c>
      <c r="F18" s="15">
        <v>1567</v>
      </c>
      <c r="G18" s="16">
        <v>6.9388478058716729E-2</v>
      </c>
      <c r="H18" s="17">
        <v>0.03</v>
      </c>
      <c r="I18" s="18">
        <v>105</v>
      </c>
      <c r="J18" s="18">
        <v>22581</v>
      </c>
      <c r="K18" s="19" t="s">
        <v>17</v>
      </c>
      <c r="AA18">
        <f t="shared" si="0"/>
        <v>9</v>
      </c>
    </row>
    <row r="19" spans="1:27" ht="15" thickBot="1">
      <c r="A19" s="13" t="s">
        <v>34</v>
      </c>
      <c r="B19" s="13" t="s">
        <v>35</v>
      </c>
      <c r="C19" s="14">
        <v>1</v>
      </c>
      <c r="D19" s="15">
        <v>2575</v>
      </c>
      <c r="E19" s="15">
        <v>1550</v>
      </c>
      <c r="F19" s="15">
        <v>1025</v>
      </c>
      <c r="G19" s="16">
        <v>0.13836393088552915</v>
      </c>
      <c r="H19" s="17">
        <v>0.03</v>
      </c>
      <c r="I19" s="18">
        <v>52</v>
      </c>
      <c r="J19" s="18">
        <v>7408</v>
      </c>
      <c r="K19" s="19" t="s">
        <v>17</v>
      </c>
      <c r="AA19">
        <f t="shared" si="0"/>
        <v>10</v>
      </c>
    </row>
    <row r="20" spans="1:27" ht="15" thickBot="1">
      <c r="A20" s="13" t="s">
        <v>34</v>
      </c>
      <c r="B20" s="13" t="s">
        <v>36</v>
      </c>
      <c r="C20" s="14">
        <v>1</v>
      </c>
      <c r="D20" s="15">
        <v>1365</v>
      </c>
      <c r="E20" s="15">
        <v>704</v>
      </c>
      <c r="F20" s="15">
        <v>661</v>
      </c>
      <c r="G20" s="16">
        <v>8.922786177105832E-2</v>
      </c>
      <c r="H20" s="17">
        <v>0.03</v>
      </c>
      <c r="I20" s="18">
        <v>81</v>
      </c>
      <c r="J20" s="18">
        <v>7408</v>
      </c>
      <c r="K20" s="19" t="s">
        <v>17</v>
      </c>
      <c r="AA20">
        <f t="shared" si="0"/>
        <v>10</v>
      </c>
    </row>
    <row r="21" spans="1:27" ht="15" thickBot="1">
      <c r="A21" s="13" t="s">
        <v>37</v>
      </c>
      <c r="B21" s="13" t="s">
        <v>38</v>
      </c>
      <c r="C21" s="14">
        <v>1</v>
      </c>
      <c r="D21" s="15">
        <v>256</v>
      </c>
      <c r="E21" s="15">
        <v>189</v>
      </c>
      <c r="F21" s="15">
        <v>67</v>
      </c>
      <c r="G21" s="16">
        <v>0.11551724137931034</v>
      </c>
      <c r="H21" s="17">
        <v>0.03</v>
      </c>
      <c r="I21" s="18">
        <v>63</v>
      </c>
      <c r="J21" s="18">
        <v>580</v>
      </c>
      <c r="K21" s="19" t="s">
        <v>17</v>
      </c>
      <c r="AA21">
        <f t="shared" si="0"/>
        <v>11</v>
      </c>
    </row>
    <row r="22" spans="1:27" ht="15" thickBot="1">
      <c r="A22" s="13" t="s">
        <v>39</v>
      </c>
      <c r="B22" s="13" t="s">
        <v>31</v>
      </c>
      <c r="C22" s="14">
        <v>1</v>
      </c>
      <c r="D22" s="15">
        <v>439</v>
      </c>
      <c r="E22" s="15">
        <v>278</v>
      </c>
      <c r="F22" s="15">
        <v>161</v>
      </c>
      <c r="G22" s="16">
        <v>6.2841530054644809E-2</v>
      </c>
      <c r="H22" s="17">
        <v>0.03</v>
      </c>
      <c r="I22" s="18">
        <v>115</v>
      </c>
      <c r="J22" s="18">
        <v>2559</v>
      </c>
      <c r="K22" s="19" t="s">
        <v>17</v>
      </c>
      <c r="AA22">
        <f t="shared" si="0"/>
        <v>12</v>
      </c>
    </row>
    <row r="23" spans="1:27" ht="15" thickBot="1">
      <c r="A23" s="13" t="s">
        <v>39</v>
      </c>
      <c r="B23" s="13" t="s">
        <v>35</v>
      </c>
      <c r="C23" s="14">
        <v>1</v>
      </c>
      <c r="D23" s="15">
        <v>952</v>
      </c>
      <c r="E23" s="15">
        <v>551</v>
      </c>
      <c r="F23" s="15">
        <v>401</v>
      </c>
      <c r="G23" s="16">
        <v>0.15651834504293521</v>
      </c>
      <c r="H23" s="17">
        <v>0.03</v>
      </c>
      <c r="I23" s="18">
        <v>46</v>
      </c>
      <c r="J23" s="18">
        <v>2562</v>
      </c>
      <c r="K23" s="19" t="s">
        <v>17</v>
      </c>
      <c r="AA23">
        <f t="shared" si="0"/>
        <v>12</v>
      </c>
    </row>
    <row r="24" spans="1:27" ht="15" thickBot="1">
      <c r="A24" s="13" t="s">
        <v>40</v>
      </c>
      <c r="B24" s="13" t="s">
        <v>29</v>
      </c>
      <c r="C24" s="14">
        <v>1</v>
      </c>
      <c r="D24" s="15">
        <v>705</v>
      </c>
      <c r="E24" s="15">
        <v>399</v>
      </c>
      <c r="F24" s="15">
        <v>306</v>
      </c>
      <c r="G24" s="16">
        <v>0.1244408296055307</v>
      </c>
      <c r="H24" s="17">
        <v>0.03</v>
      </c>
      <c r="I24" s="18">
        <v>58</v>
      </c>
      <c r="J24" s="18">
        <v>2459</v>
      </c>
      <c r="K24" s="19" t="s">
        <v>17</v>
      </c>
      <c r="AA24">
        <f t="shared" si="0"/>
        <v>13</v>
      </c>
    </row>
    <row r="25" spans="1:27" ht="15" thickBot="1">
      <c r="A25" s="13" t="s">
        <v>40</v>
      </c>
      <c r="B25" s="13" t="s">
        <v>41</v>
      </c>
      <c r="C25" s="14">
        <v>1</v>
      </c>
      <c r="D25" s="15">
        <v>733</v>
      </c>
      <c r="E25" s="15">
        <v>543</v>
      </c>
      <c r="F25" s="15">
        <v>190</v>
      </c>
      <c r="G25" s="16">
        <v>7.7267181781211877E-2</v>
      </c>
      <c r="H25" s="17">
        <v>0.03</v>
      </c>
      <c r="I25" s="18">
        <v>94</v>
      </c>
      <c r="J25" s="18">
        <v>2458</v>
      </c>
      <c r="K25" s="19"/>
      <c r="AA25">
        <f t="shared" si="0"/>
        <v>13</v>
      </c>
    </row>
    <row r="26" spans="1:27" ht="15" thickBot="1">
      <c r="A26" s="13" t="s">
        <v>42</v>
      </c>
      <c r="B26" s="13" t="s">
        <v>43</v>
      </c>
      <c r="C26" s="14">
        <v>1</v>
      </c>
      <c r="D26" s="15">
        <v>195</v>
      </c>
      <c r="E26" s="15">
        <v>119</v>
      </c>
      <c r="F26" s="15">
        <v>76</v>
      </c>
      <c r="G26" s="16">
        <v>5.4285714285714284E-2</v>
      </c>
      <c r="H26" s="17">
        <v>0.03</v>
      </c>
      <c r="I26" s="18">
        <v>134</v>
      </c>
      <c r="J26" s="18">
        <v>1400</v>
      </c>
      <c r="K26" s="19" t="s">
        <v>17</v>
      </c>
      <c r="AA26">
        <f t="shared" si="0"/>
        <v>14</v>
      </c>
    </row>
    <row r="27" spans="1:27" ht="15" thickBot="1">
      <c r="A27" s="13" t="s">
        <v>42</v>
      </c>
      <c r="B27" s="13" t="s">
        <v>44</v>
      </c>
      <c r="C27" s="14">
        <v>1</v>
      </c>
      <c r="D27" s="15">
        <v>552</v>
      </c>
      <c r="E27" s="15">
        <v>442</v>
      </c>
      <c r="F27" s="15">
        <v>110</v>
      </c>
      <c r="G27" s="16">
        <v>7.857142857142857E-2</v>
      </c>
      <c r="H27" s="17">
        <v>0.03</v>
      </c>
      <c r="I27" s="18">
        <v>92</v>
      </c>
      <c r="J27" s="18">
        <v>1400</v>
      </c>
      <c r="K27" s="19"/>
      <c r="AA27">
        <f t="shared" si="0"/>
        <v>14</v>
      </c>
    </row>
    <row r="28" spans="1:27" ht="15" thickBot="1">
      <c r="A28" s="13" t="s">
        <v>45</v>
      </c>
      <c r="B28" s="13" t="s">
        <v>38</v>
      </c>
      <c r="C28" s="14">
        <v>1</v>
      </c>
      <c r="D28" s="15">
        <v>352</v>
      </c>
      <c r="E28" s="15">
        <v>149</v>
      </c>
      <c r="F28" s="15">
        <v>203</v>
      </c>
      <c r="G28" s="16">
        <v>0.22937853107344633</v>
      </c>
      <c r="H28" s="17">
        <v>0.03</v>
      </c>
      <c r="I28" s="18">
        <v>31</v>
      </c>
      <c r="J28" s="18">
        <v>885</v>
      </c>
      <c r="K28" s="19" t="s">
        <v>17</v>
      </c>
      <c r="AA28">
        <f t="shared" si="0"/>
        <v>15</v>
      </c>
    </row>
    <row r="29" spans="1:27" ht="15" thickBot="1">
      <c r="A29" s="13" t="s">
        <v>45</v>
      </c>
      <c r="B29" s="13" t="s">
        <v>24</v>
      </c>
      <c r="C29" s="14">
        <v>1</v>
      </c>
      <c r="D29" s="15">
        <v>158</v>
      </c>
      <c r="E29" s="15">
        <v>31</v>
      </c>
      <c r="F29" s="15">
        <v>127</v>
      </c>
      <c r="G29" s="16">
        <v>0.14350282485875707</v>
      </c>
      <c r="H29" s="17">
        <v>0.03</v>
      </c>
      <c r="I29" s="18">
        <v>50</v>
      </c>
      <c r="J29" s="18">
        <v>885</v>
      </c>
      <c r="K29" s="19" t="s">
        <v>17</v>
      </c>
      <c r="AA29">
        <f t="shared" si="0"/>
        <v>15</v>
      </c>
    </row>
    <row r="30" spans="1:27" ht="15" thickBot="1">
      <c r="A30" s="13" t="s">
        <v>46</v>
      </c>
      <c r="B30" s="13" t="s">
        <v>24</v>
      </c>
      <c r="C30" s="14">
        <v>1</v>
      </c>
      <c r="D30" s="15">
        <v>415</v>
      </c>
      <c r="E30" s="15">
        <v>95</v>
      </c>
      <c r="F30" s="15">
        <v>320</v>
      </c>
      <c r="G30" s="16">
        <v>0.16202531645569621</v>
      </c>
      <c r="H30" s="17">
        <v>0.03</v>
      </c>
      <c r="I30" s="18">
        <v>44</v>
      </c>
      <c r="J30" s="18">
        <v>1975</v>
      </c>
      <c r="K30" s="19" t="s">
        <v>17</v>
      </c>
      <c r="AA30">
        <f t="shared" si="0"/>
        <v>16</v>
      </c>
    </row>
    <row r="31" spans="1:27" ht="15" thickBot="1">
      <c r="A31" s="13" t="s">
        <v>46</v>
      </c>
      <c r="B31" s="13" t="s">
        <v>36</v>
      </c>
      <c r="C31" s="14">
        <v>1</v>
      </c>
      <c r="D31" s="15">
        <v>598</v>
      </c>
      <c r="E31" s="15">
        <v>409</v>
      </c>
      <c r="F31" s="15">
        <v>189</v>
      </c>
      <c r="G31" s="16">
        <v>9.5696202531645569E-2</v>
      </c>
      <c r="H31" s="17">
        <v>0.03</v>
      </c>
      <c r="I31" s="18">
        <v>76</v>
      </c>
      <c r="J31" s="18">
        <v>1973</v>
      </c>
      <c r="K31" s="19" t="s">
        <v>17</v>
      </c>
      <c r="AA31">
        <f t="shared" si="0"/>
        <v>16</v>
      </c>
    </row>
    <row r="32" spans="1:27" ht="15" thickBot="1">
      <c r="A32" s="13" t="s">
        <v>47</v>
      </c>
      <c r="B32" s="13" t="s">
        <v>38</v>
      </c>
      <c r="C32" s="14">
        <v>1</v>
      </c>
      <c r="D32" s="15">
        <v>3347</v>
      </c>
      <c r="E32" s="15">
        <v>1682</v>
      </c>
      <c r="F32" s="15">
        <v>1665</v>
      </c>
      <c r="G32" s="16">
        <v>0.17085684966649564</v>
      </c>
      <c r="H32" s="17">
        <v>0.03</v>
      </c>
      <c r="I32" s="18">
        <v>42</v>
      </c>
      <c r="J32" s="18">
        <v>9745</v>
      </c>
      <c r="K32" s="19" t="s">
        <v>17</v>
      </c>
      <c r="AA32">
        <f t="shared" si="0"/>
        <v>17</v>
      </c>
    </row>
    <row r="33" spans="1:27" ht="15" thickBot="1">
      <c r="A33" s="13" t="s">
        <v>47</v>
      </c>
      <c r="B33" s="13" t="s">
        <v>35</v>
      </c>
      <c r="C33" s="14">
        <v>1</v>
      </c>
      <c r="D33" s="15">
        <v>1850</v>
      </c>
      <c r="E33" s="15">
        <v>1105</v>
      </c>
      <c r="F33" s="15">
        <v>745</v>
      </c>
      <c r="G33" s="16">
        <v>7.6449461262185742E-2</v>
      </c>
      <c r="H33" s="17">
        <v>0.03</v>
      </c>
      <c r="I33" s="18">
        <v>95</v>
      </c>
      <c r="J33" s="18">
        <v>9745</v>
      </c>
      <c r="K33" s="19" t="s">
        <v>17</v>
      </c>
      <c r="AA33">
        <f t="shared" si="0"/>
        <v>17</v>
      </c>
    </row>
    <row r="34" spans="1:27" ht="15" thickBot="1">
      <c r="A34" s="13" t="s">
        <v>48</v>
      </c>
      <c r="B34" s="13" t="s">
        <v>38</v>
      </c>
      <c r="C34" s="14">
        <v>1</v>
      </c>
      <c r="D34" s="15">
        <v>8132</v>
      </c>
      <c r="E34" s="15">
        <v>4626</v>
      </c>
      <c r="F34" s="15">
        <v>3506</v>
      </c>
      <c r="G34" s="16">
        <v>2.3326990379113493E-2</v>
      </c>
      <c r="H34" s="17">
        <v>0.03</v>
      </c>
      <c r="I34" s="18">
        <v>312</v>
      </c>
      <c r="J34" s="18">
        <v>150298</v>
      </c>
      <c r="K34" s="19" t="s">
        <v>17</v>
      </c>
      <c r="AA34">
        <f t="shared" si="0"/>
        <v>18</v>
      </c>
    </row>
    <row r="35" spans="1:27" ht="15" thickBot="1">
      <c r="A35" s="13" t="s">
        <v>48</v>
      </c>
      <c r="B35" s="13" t="s">
        <v>49</v>
      </c>
      <c r="C35" s="14">
        <v>1</v>
      </c>
      <c r="D35" s="15">
        <v>10481</v>
      </c>
      <c r="E35" s="15">
        <v>3191</v>
      </c>
      <c r="F35" s="15">
        <v>7290</v>
      </c>
      <c r="G35" s="16">
        <v>4.8503639436319843E-2</v>
      </c>
      <c r="H35" s="17">
        <v>0.03</v>
      </c>
      <c r="I35" s="18">
        <v>150</v>
      </c>
      <c r="J35" s="18">
        <v>16124</v>
      </c>
      <c r="K35" s="19"/>
      <c r="AA35">
        <f t="shared" si="0"/>
        <v>18</v>
      </c>
    </row>
    <row r="36" spans="1:27" ht="15" thickBot="1">
      <c r="A36" s="13" t="s">
        <v>50</v>
      </c>
      <c r="B36" s="13" t="s">
        <v>38</v>
      </c>
      <c r="C36" s="14">
        <v>1</v>
      </c>
      <c r="D36" s="15">
        <v>196</v>
      </c>
      <c r="E36" s="15">
        <v>132</v>
      </c>
      <c r="F36" s="15">
        <v>64</v>
      </c>
      <c r="G36" s="16">
        <v>0.10015649452269171</v>
      </c>
      <c r="H36" s="17">
        <v>0.03</v>
      </c>
      <c r="I36" s="18">
        <v>72</v>
      </c>
      <c r="J36" s="18">
        <v>639</v>
      </c>
      <c r="K36" s="19" t="s">
        <v>17</v>
      </c>
      <c r="AA36">
        <f t="shared" si="0"/>
        <v>19</v>
      </c>
    </row>
    <row r="37" spans="1:27" ht="15" thickBot="1">
      <c r="A37" s="13" t="s">
        <v>51</v>
      </c>
      <c r="B37" s="13" t="s">
        <v>29</v>
      </c>
      <c r="C37" s="14">
        <v>1</v>
      </c>
      <c r="D37" s="15">
        <v>26439</v>
      </c>
      <c r="E37" s="15">
        <v>23569</v>
      </c>
      <c r="F37" s="15">
        <v>2870</v>
      </c>
      <c r="G37" s="16">
        <v>2.8200845042743439E-2</v>
      </c>
      <c r="H37" s="17">
        <v>0.03</v>
      </c>
      <c r="I37" s="18">
        <v>258</v>
      </c>
      <c r="J37" s="18">
        <v>50645</v>
      </c>
      <c r="K37" s="19" t="s">
        <v>17</v>
      </c>
      <c r="AA37">
        <f t="shared" si="0"/>
        <v>20</v>
      </c>
    </row>
    <row r="38" spans="1:27" ht="15" thickBot="1">
      <c r="A38" s="13" t="s">
        <v>51</v>
      </c>
      <c r="B38" s="13" t="s">
        <v>52</v>
      </c>
      <c r="C38" s="14">
        <v>1</v>
      </c>
      <c r="D38" s="15">
        <v>26649</v>
      </c>
      <c r="E38" s="15">
        <v>21055</v>
      </c>
      <c r="F38" s="15">
        <v>5594</v>
      </c>
      <c r="G38" s="16">
        <v>5.4967082637319448E-2</v>
      </c>
      <c r="H38" s="17">
        <v>0.03</v>
      </c>
      <c r="I38" s="18">
        <v>132</v>
      </c>
      <c r="J38" s="18">
        <v>50896</v>
      </c>
      <c r="K38" s="19"/>
      <c r="AA38">
        <f t="shared" si="0"/>
        <v>20</v>
      </c>
    </row>
    <row r="39" spans="1:27" ht="15" thickBot="1">
      <c r="A39" s="13" t="s">
        <v>53</v>
      </c>
      <c r="B39" s="13" t="s">
        <v>16</v>
      </c>
      <c r="C39" s="14">
        <v>1</v>
      </c>
      <c r="D39" s="15">
        <v>1344</v>
      </c>
      <c r="E39" s="15">
        <v>1056</v>
      </c>
      <c r="F39" s="15">
        <v>288</v>
      </c>
      <c r="G39" s="16">
        <v>2.8059236165237724E-2</v>
      </c>
      <c r="H39" s="17">
        <v>0.03</v>
      </c>
      <c r="I39" s="18">
        <v>259</v>
      </c>
      <c r="J39" s="18">
        <v>10264</v>
      </c>
      <c r="K39" s="19" t="s">
        <v>17</v>
      </c>
      <c r="AA39">
        <f t="shared" si="0"/>
        <v>21</v>
      </c>
    </row>
    <row r="40" spans="1:27" ht="15" thickBot="1">
      <c r="A40" s="13" t="s">
        <v>53</v>
      </c>
      <c r="B40" s="13" t="s">
        <v>54</v>
      </c>
      <c r="C40" s="14">
        <v>1</v>
      </c>
      <c r="D40" s="15">
        <v>3779</v>
      </c>
      <c r="E40" s="15">
        <v>2647</v>
      </c>
      <c r="F40" s="15">
        <v>1132</v>
      </c>
      <c r="G40" s="16">
        <v>0.1102883865939205</v>
      </c>
      <c r="H40" s="17">
        <v>0.03</v>
      </c>
      <c r="I40" s="18">
        <v>66</v>
      </c>
      <c r="J40" s="18">
        <v>10263</v>
      </c>
      <c r="K40" s="19"/>
      <c r="AA40">
        <f t="shared" si="0"/>
        <v>21</v>
      </c>
    </row>
    <row r="41" spans="1:27" ht="15" thickBot="1">
      <c r="A41" s="13" t="s">
        <v>55</v>
      </c>
      <c r="B41" s="13" t="s">
        <v>56</v>
      </c>
      <c r="C41" s="14">
        <v>1</v>
      </c>
      <c r="D41" s="15">
        <v>12794</v>
      </c>
      <c r="E41" s="15">
        <v>7229</v>
      </c>
      <c r="F41" s="15">
        <v>5565</v>
      </c>
      <c r="G41" s="16">
        <v>4.0988134432242529E-2</v>
      </c>
      <c r="H41" s="17">
        <v>0.03</v>
      </c>
      <c r="I41" s="18">
        <v>177</v>
      </c>
      <c r="J41" s="18">
        <v>34317</v>
      </c>
      <c r="K41" s="19"/>
      <c r="AA41">
        <f t="shared" si="0"/>
        <v>22</v>
      </c>
    </row>
    <row r="42" spans="1:27" ht="15" thickBot="1">
      <c r="A42" s="13" t="s">
        <v>55</v>
      </c>
      <c r="B42" s="13" t="s">
        <v>57</v>
      </c>
      <c r="C42" s="14">
        <v>1</v>
      </c>
      <c r="D42" s="15">
        <v>6974</v>
      </c>
      <c r="E42" s="15">
        <v>2877</v>
      </c>
      <c r="F42" s="15">
        <v>4097</v>
      </c>
      <c r="G42" s="16">
        <v>3.0175810740143329E-2</v>
      </c>
      <c r="H42" s="17">
        <v>0.03</v>
      </c>
      <c r="I42" s="18">
        <v>241</v>
      </c>
      <c r="J42" s="18">
        <v>19540</v>
      </c>
      <c r="K42" s="19"/>
      <c r="AA42">
        <f t="shared" si="0"/>
        <v>22</v>
      </c>
    </row>
    <row r="43" spans="1:27" ht="15" thickBot="1">
      <c r="A43" s="13" t="s">
        <v>58</v>
      </c>
      <c r="B43" s="13" t="s">
        <v>24</v>
      </c>
      <c r="C43" s="14">
        <v>1</v>
      </c>
      <c r="D43" s="15">
        <v>1074</v>
      </c>
      <c r="E43" s="15">
        <v>398</v>
      </c>
      <c r="F43" s="15">
        <v>676</v>
      </c>
      <c r="G43" s="16">
        <v>8.0485772115728063E-2</v>
      </c>
      <c r="H43" s="17">
        <v>0.03</v>
      </c>
      <c r="I43" s="18">
        <v>90</v>
      </c>
      <c r="J43" s="18">
        <v>2067</v>
      </c>
      <c r="K43" s="19" t="s">
        <v>17</v>
      </c>
      <c r="AA43">
        <f t="shared" si="0"/>
        <v>23</v>
      </c>
    </row>
    <row r="44" spans="1:27" ht="15" thickBot="1">
      <c r="A44" s="13" t="s">
        <v>58</v>
      </c>
      <c r="B44" s="13" t="s">
        <v>16</v>
      </c>
      <c r="C44" s="14">
        <v>1</v>
      </c>
      <c r="D44" s="15">
        <v>3149</v>
      </c>
      <c r="E44" s="15">
        <v>2438</v>
      </c>
      <c r="F44" s="15">
        <v>711</v>
      </c>
      <c r="G44" s="16">
        <v>8.4652934873199193E-2</v>
      </c>
      <c r="H44" s="17">
        <v>0.03</v>
      </c>
      <c r="I44" s="18">
        <v>86</v>
      </c>
      <c r="J44" s="18">
        <v>6306</v>
      </c>
      <c r="K44" s="19" t="s">
        <v>17</v>
      </c>
      <c r="AA44">
        <f t="shared" si="0"/>
        <v>23</v>
      </c>
    </row>
    <row r="45" spans="1:27" ht="15" thickBot="1">
      <c r="A45" s="13" t="s">
        <v>59</v>
      </c>
      <c r="B45" s="13" t="s">
        <v>35</v>
      </c>
      <c r="C45" s="14">
        <v>1</v>
      </c>
      <c r="D45" s="15">
        <v>2441</v>
      </c>
      <c r="E45" s="15">
        <v>1336</v>
      </c>
      <c r="F45" s="15">
        <v>1105</v>
      </c>
      <c r="G45" s="16">
        <v>8.4467206849105636E-2</v>
      </c>
      <c r="H45" s="17">
        <v>0.03</v>
      </c>
      <c r="I45" s="18">
        <v>86</v>
      </c>
      <c r="J45" s="18">
        <v>13082</v>
      </c>
      <c r="K45" s="19" t="s">
        <v>17</v>
      </c>
      <c r="AA45">
        <f t="shared" si="0"/>
        <v>24</v>
      </c>
    </row>
    <row r="46" spans="1:27" ht="15" thickBot="1">
      <c r="A46" s="13" t="s">
        <v>59</v>
      </c>
      <c r="B46" s="13" t="s">
        <v>16</v>
      </c>
      <c r="C46" s="14">
        <v>1</v>
      </c>
      <c r="D46" s="15">
        <v>4743</v>
      </c>
      <c r="E46" s="15">
        <v>3229</v>
      </c>
      <c r="F46" s="15">
        <v>1514</v>
      </c>
      <c r="G46" s="16">
        <v>0.11573153951995108</v>
      </c>
      <c r="H46" s="17">
        <v>0.03</v>
      </c>
      <c r="I46" s="18">
        <v>62</v>
      </c>
      <c r="J46" s="18">
        <v>13082</v>
      </c>
      <c r="K46" s="19" t="s">
        <v>17</v>
      </c>
      <c r="AA46">
        <f t="shared" si="0"/>
        <v>24</v>
      </c>
    </row>
    <row r="47" spans="1:27" ht="15" thickBot="1">
      <c r="A47" s="13" t="s">
        <v>60</v>
      </c>
      <c r="B47" s="13" t="s">
        <v>35</v>
      </c>
      <c r="C47" s="14">
        <v>1</v>
      </c>
      <c r="D47" s="15">
        <v>2651</v>
      </c>
      <c r="E47" s="15">
        <v>1961</v>
      </c>
      <c r="F47" s="15">
        <v>690</v>
      </c>
      <c r="G47" s="16">
        <v>6.0792951541850222E-2</v>
      </c>
      <c r="H47" s="17">
        <v>0.03</v>
      </c>
      <c r="I47" s="18">
        <v>119</v>
      </c>
      <c r="J47" s="18">
        <v>5200</v>
      </c>
      <c r="K47" s="19" t="s">
        <v>17</v>
      </c>
      <c r="AA47">
        <f t="shared" si="0"/>
        <v>25</v>
      </c>
    </row>
    <row r="48" spans="1:27" ht="15" thickBot="1">
      <c r="A48" s="13" t="s">
        <v>60</v>
      </c>
      <c r="B48" s="13" t="s">
        <v>16</v>
      </c>
      <c r="C48" s="14">
        <v>1</v>
      </c>
      <c r="D48" s="15">
        <v>2746</v>
      </c>
      <c r="E48" s="15">
        <v>2288</v>
      </c>
      <c r="F48" s="15">
        <v>458</v>
      </c>
      <c r="G48" s="16">
        <v>4.0352422907488986E-2</v>
      </c>
      <c r="H48" s="17">
        <v>0.03</v>
      </c>
      <c r="I48" s="18">
        <v>180</v>
      </c>
      <c r="J48" s="18">
        <v>6150</v>
      </c>
      <c r="K48" s="19" t="s">
        <v>17</v>
      </c>
      <c r="AA48">
        <f t="shared" si="0"/>
        <v>25</v>
      </c>
    </row>
    <row r="49" spans="1:27" ht="15" thickBot="1">
      <c r="A49" s="13" t="s">
        <v>61</v>
      </c>
      <c r="B49" s="13" t="s">
        <v>24</v>
      </c>
      <c r="C49" s="14">
        <v>1</v>
      </c>
      <c r="D49" s="15">
        <v>486</v>
      </c>
      <c r="E49" s="15">
        <v>258</v>
      </c>
      <c r="F49" s="15">
        <v>228</v>
      </c>
      <c r="G49" s="16">
        <v>0.12271259418729817</v>
      </c>
      <c r="H49" s="17">
        <v>0.03</v>
      </c>
      <c r="I49" s="18">
        <v>59</v>
      </c>
      <c r="J49" s="18">
        <v>1174</v>
      </c>
      <c r="K49" s="19" t="s">
        <v>17</v>
      </c>
      <c r="AA49">
        <f t="shared" si="0"/>
        <v>26</v>
      </c>
    </row>
    <row r="50" spans="1:27" ht="15" thickBot="1">
      <c r="A50" s="13" t="s">
        <v>61</v>
      </c>
      <c r="B50" s="13" t="s">
        <v>16</v>
      </c>
      <c r="C50" s="14">
        <v>1</v>
      </c>
      <c r="D50" s="15">
        <v>372</v>
      </c>
      <c r="E50" s="15">
        <v>229</v>
      </c>
      <c r="F50" s="15">
        <v>143</v>
      </c>
      <c r="G50" s="16">
        <v>7.6964477933261569E-2</v>
      </c>
      <c r="H50" s="17">
        <v>0.03</v>
      </c>
      <c r="I50" s="18">
        <v>94</v>
      </c>
      <c r="J50" s="18">
        <v>680</v>
      </c>
      <c r="K50" s="19" t="s">
        <v>17</v>
      </c>
      <c r="AA50">
        <f t="shared" si="0"/>
        <v>26</v>
      </c>
    </row>
    <row r="51" spans="1:27" ht="15" thickBot="1">
      <c r="A51" s="13" t="s">
        <v>62</v>
      </c>
      <c r="B51" s="13" t="s">
        <v>35</v>
      </c>
      <c r="C51" s="14">
        <v>1</v>
      </c>
      <c r="D51" s="15">
        <v>1254</v>
      </c>
      <c r="E51" s="15">
        <v>802</v>
      </c>
      <c r="F51" s="15">
        <v>452</v>
      </c>
      <c r="G51" s="16">
        <v>9.9362497252143328E-2</v>
      </c>
      <c r="H51" s="17">
        <v>0.03</v>
      </c>
      <c r="I51" s="18">
        <v>73</v>
      </c>
      <c r="J51" s="18">
        <v>2374</v>
      </c>
      <c r="K51" s="19" t="s">
        <v>17</v>
      </c>
      <c r="AA51">
        <f t="shared" si="0"/>
        <v>27</v>
      </c>
    </row>
    <row r="52" spans="1:27" ht="15" thickBot="1">
      <c r="A52" s="13" t="s">
        <v>62</v>
      </c>
      <c r="B52" s="13" t="s">
        <v>16</v>
      </c>
      <c r="C52" s="14">
        <v>1</v>
      </c>
      <c r="D52" s="15">
        <v>1066</v>
      </c>
      <c r="E52" s="15">
        <v>749</v>
      </c>
      <c r="F52" s="15">
        <v>317</v>
      </c>
      <c r="G52" s="16">
        <v>6.968564519674654E-2</v>
      </c>
      <c r="H52" s="17">
        <v>0.03</v>
      </c>
      <c r="I52" s="18">
        <v>104</v>
      </c>
      <c r="J52" s="18">
        <v>2165</v>
      </c>
      <c r="K52" s="19" t="s">
        <v>17</v>
      </c>
      <c r="AA52">
        <f t="shared" si="0"/>
        <v>27</v>
      </c>
    </row>
    <row r="53" spans="1:27" ht="15" thickBot="1">
      <c r="A53" s="13" t="s">
        <v>63</v>
      </c>
      <c r="B53" s="13" t="s">
        <v>43</v>
      </c>
      <c r="C53" s="14">
        <v>1</v>
      </c>
      <c r="D53" s="15">
        <v>801</v>
      </c>
      <c r="E53" s="15">
        <v>442</v>
      </c>
      <c r="F53" s="15">
        <v>359</v>
      </c>
      <c r="G53" s="16">
        <v>8.0187625642171093E-2</v>
      </c>
      <c r="H53" s="17">
        <v>0.03</v>
      </c>
      <c r="I53" s="18">
        <v>90</v>
      </c>
      <c r="J53" s="18">
        <v>4477</v>
      </c>
      <c r="K53" s="19" t="s">
        <v>17</v>
      </c>
      <c r="AA53">
        <f t="shared" si="0"/>
        <v>28</v>
      </c>
    </row>
    <row r="54" spans="1:27" ht="15" thickBot="1">
      <c r="A54" s="13" t="s">
        <v>63</v>
      </c>
      <c r="B54" s="13" t="s">
        <v>35</v>
      </c>
      <c r="C54" s="14">
        <v>1</v>
      </c>
      <c r="D54" s="15">
        <v>1580</v>
      </c>
      <c r="E54" s="15">
        <v>1129</v>
      </c>
      <c r="F54" s="15">
        <v>451</v>
      </c>
      <c r="G54" s="16">
        <v>0.10073710073710074</v>
      </c>
      <c r="H54" s="17">
        <v>0.03</v>
      </c>
      <c r="I54" s="18">
        <v>72</v>
      </c>
      <c r="J54" s="18">
        <v>4477</v>
      </c>
      <c r="K54" s="19" t="s">
        <v>17</v>
      </c>
      <c r="AA54">
        <f t="shared" si="0"/>
        <v>28</v>
      </c>
    </row>
    <row r="55" spans="1:27" ht="15" thickBot="1">
      <c r="A55" s="13" t="s">
        <v>64</v>
      </c>
      <c r="B55" s="13" t="s">
        <v>43</v>
      </c>
      <c r="C55" s="14">
        <v>1</v>
      </c>
      <c r="D55" s="15">
        <v>103</v>
      </c>
      <c r="E55" s="15">
        <v>81</v>
      </c>
      <c r="F55" s="15">
        <v>22</v>
      </c>
      <c r="G55" s="16">
        <v>7.4576271186440682E-2</v>
      </c>
      <c r="H55" s="17">
        <v>0.03</v>
      </c>
      <c r="I55" s="18">
        <v>97</v>
      </c>
      <c r="J55" s="18">
        <v>295</v>
      </c>
      <c r="K55" s="19" t="s">
        <v>17</v>
      </c>
      <c r="AA55">
        <f t="shared" si="0"/>
        <v>29</v>
      </c>
    </row>
    <row r="56" spans="1:27" ht="15" thickBot="1">
      <c r="A56" s="13" t="s">
        <v>65</v>
      </c>
      <c r="B56" s="13" t="s">
        <v>29</v>
      </c>
      <c r="C56" s="14">
        <v>1</v>
      </c>
      <c r="D56" s="15">
        <v>728</v>
      </c>
      <c r="E56" s="15">
        <v>487</v>
      </c>
      <c r="F56" s="15">
        <v>241</v>
      </c>
      <c r="G56" s="16">
        <v>0.10460069444444445</v>
      </c>
      <c r="H56" s="17">
        <v>0.03</v>
      </c>
      <c r="I56" s="18">
        <v>69</v>
      </c>
      <c r="J56" s="18">
        <v>2304</v>
      </c>
      <c r="K56" s="19" t="s">
        <v>17</v>
      </c>
      <c r="AA56">
        <f t="shared" si="0"/>
        <v>30</v>
      </c>
    </row>
    <row r="57" spans="1:27" ht="15" thickBot="1">
      <c r="A57" s="13" t="s">
        <v>65</v>
      </c>
      <c r="B57" s="13" t="s">
        <v>66</v>
      </c>
      <c r="C57" s="14">
        <v>1</v>
      </c>
      <c r="D57" s="15">
        <v>692</v>
      </c>
      <c r="E57" s="15">
        <v>292</v>
      </c>
      <c r="F57" s="15">
        <v>400</v>
      </c>
      <c r="G57" s="16">
        <v>0.1736111111111111</v>
      </c>
      <c r="H57" s="17">
        <v>0.03</v>
      </c>
      <c r="I57" s="18">
        <v>41</v>
      </c>
      <c r="J57" s="18">
        <v>2304</v>
      </c>
      <c r="K57" s="19"/>
      <c r="AA57">
        <f t="shared" si="0"/>
        <v>30</v>
      </c>
    </row>
    <row r="58" spans="1:27" ht="15" thickBot="1">
      <c r="A58" s="13" t="s">
        <v>67</v>
      </c>
      <c r="B58" s="13" t="s">
        <v>68</v>
      </c>
      <c r="C58" s="14">
        <v>1</v>
      </c>
      <c r="D58" s="15">
        <v>307</v>
      </c>
      <c r="E58" s="15">
        <v>222</v>
      </c>
      <c r="F58" s="15">
        <v>85</v>
      </c>
      <c r="G58" s="16">
        <v>0.14680483592400692</v>
      </c>
      <c r="H58" s="17">
        <v>0.03</v>
      </c>
      <c r="I58" s="18">
        <v>49</v>
      </c>
      <c r="J58" s="18">
        <v>579</v>
      </c>
      <c r="K58" s="19"/>
      <c r="AA58">
        <f t="shared" si="0"/>
        <v>31</v>
      </c>
    </row>
    <row r="59" spans="1:27" ht="15" thickBot="1">
      <c r="A59" s="13" t="s">
        <v>69</v>
      </c>
      <c r="B59" s="13" t="s">
        <v>38</v>
      </c>
      <c r="C59" s="14">
        <v>1</v>
      </c>
      <c r="D59" s="15">
        <v>23874</v>
      </c>
      <c r="E59" s="15">
        <v>18717</v>
      </c>
      <c r="F59" s="15">
        <v>5157</v>
      </c>
      <c r="G59" s="16">
        <v>3.0752441947833553E-2</v>
      </c>
      <c r="H59" s="17">
        <v>0.03</v>
      </c>
      <c r="I59" s="18">
        <v>236</v>
      </c>
      <c r="J59" s="18">
        <v>167694</v>
      </c>
      <c r="K59" s="19" t="s">
        <v>17</v>
      </c>
      <c r="AA59">
        <f t="shared" si="0"/>
        <v>32</v>
      </c>
    </row>
    <row r="60" spans="1:27" ht="15" thickBot="1">
      <c r="A60" s="13" t="s">
        <v>69</v>
      </c>
      <c r="B60" s="13" t="s">
        <v>70</v>
      </c>
      <c r="C60" s="14">
        <v>1</v>
      </c>
      <c r="D60" s="15">
        <v>53661</v>
      </c>
      <c r="E60" s="15">
        <v>44005</v>
      </c>
      <c r="F60" s="15">
        <v>9656</v>
      </c>
      <c r="G60" s="16">
        <v>5.758107028277696E-2</v>
      </c>
      <c r="H60" s="17">
        <v>0.03</v>
      </c>
      <c r="I60" s="18">
        <v>126</v>
      </c>
      <c r="J60" s="18">
        <v>167655</v>
      </c>
      <c r="K60" s="19"/>
      <c r="AA60">
        <f t="shared" si="0"/>
        <v>32</v>
      </c>
    </row>
    <row r="61" spans="1:27" ht="15" thickBot="1">
      <c r="A61" s="13" t="s">
        <v>71</v>
      </c>
      <c r="B61" s="13" t="s">
        <v>72</v>
      </c>
      <c r="C61" s="14">
        <v>1</v>
      </c>
      <c r="D61" s="15">
        <v>296</v>
      </c>
      <c r="E61" s="15">
        <v>157</v>
      </c>
      <c r="F61" s="15">
        <v>139</v>
      </c>
      <c r="G61" s="16">
        <v>0.2720156555772994</v>
      </c>
      <c r="H61" s="17">
        <v>0.03</v>
      </c>
      <c r="I61" s="18">
        <v>26</v>
      </c>
      <c r="J61" s="18">
        <v>511</v>
      </c>
      <c r="K61" s="19"/>
      <c r="AA61">
        <f t="shared" si="0"/>
        <v>33</v>
      </c>
    </row>
    <row r="62" spans="1:27" ht="15" thickBot="1">
      <c r="A62" s="13" t="s">
        <v>73</v>
      </c>
      <c r="B62" s="13" t="s">
        <v>16</v>
      </c>
      <c r="C62" s="14">
        <v>1</v>
      </c>
      <c r="D62" s="15">
        <v>729</v>
      </c>
      <c r="E62" s="15">
        <v>535</v>
      </c>
      <c r="F62" s="15">
        <v>194</v>
      </c>
      <c r="G62" s="16">
        <v>0.10532030401737243</v>
      </c>
      <c r="H62" s="17">
        <v>0.03</v>
      </c>
      <c r="I62" s="18">
        <v>69</v>
      </c>
      <c r="J62" s="18">
        <v>1842</v>
      </c>
      <c r="K62" s="19" t="s">
        <v>17</v>
      </c>
      <c r="AA62">
        <f t="shared" si="0"/>
        <v>34</v>
      </c>
    </row>
    <row r="63" spans="1:27" ht="15" thickBot="1">
      <c r="A63" s="13" t="s">
        <v>74</v>
      </c>
      <c r="B63" s="13" t="s">
        <v>75</v>
      </c>
      <c r="C63" s="14">
        <v>1</v>
      </c>
      <c r="D63" s="15">
        <v>5322</v>
      </c>
      <c r="E63" s="15">
        <v>4395</v>
      </c>
      <c r="F63" s="15">
        <v>927</v>
      </c>
      <c r="G63" s="16">
        <v>5.7757009345794391E-2</v>
      </c>
      <c r="H63" s="17">
        <v>0.03</v>
      </c>
      <c r="I63" s="18">
        <v>126</v>
      </c>
      <c r="J63" s="18">
        <v>16050</v>
      </c>
      <c r="K63" s="19" t="s">
        <v>17</v>
      </c>
      <c r="AA63">
        <f t="shared" si="0"/>
        <v>35</v>
      </c>
    </row>
    <row r="64" spans="1:27" ht="15" thickBot="1">
      <c r="A64" s="13" t="s">
        <v>74</v>
      </c>
      <c r="B64" s="13" t="s">
        <v>43</v>
      </c>
      <c r="C64" s="14">
        <v>1</v>
      </c>
      <c r="D64" s="15">
        <v>3548</v>
      </c>
      <c r="E64" s="15">
        <v>1819</v>
      </c>
      <c r="F64" s="15">
        <v>1729</v>
      </c>
      <c r="G64" s="16">
        <v>0.10772585669781931</v>
      </c>
      <c r="H64" s="17">
        <v>0.03</v>
      </c>
      <c r="I64" s="18">
        <v>67</v>
      </c>
      <c r="J64" s="18">
        <v>16050</v>
      </c>
      <c r="K64" s="19" t="s">
        <v>17</v>
      </c>
      <c r="AA64">
        <f t="shared" si="0"/>
        <v>35</v>
      </c>
    </row>
    <row r="65" spans="1:27" ht="15" thickBot="1">
      <c r="A65" s="13" t="s">
        <v>76</v>
      </c>
      <c r="B65" s="13" t="s">
        <v>77</v>
      </c>
      <c r="C65" s="14">
        <v>1</v>
      </c>
      <c r="D65" s="15">
        <v>342</v>
      </c>
      <c r="E65" s="15">
        <v>117</v>
      </c>
      <c r="F65" s="15">
        <v>225</v>
      </c>
      <c r="G65" s="16">
        <v>0.13165593914569923</v>
      </c>
      <c r="H65" s="17">
        <v>0.03</v>
      </c>
      <c r="I65" s="18">
        <v>55</v>
      </c>
      <c r="J65" s="18">
        <v>1708</v>
      </c>
      <c r="K65" s="19"/>
      <c r="AA65">
        <f t="shared" si="0"/>
        <v>36</v>
      </c>
    </row>
    <row r="66" spans="1:27" ht="15" thickBot="1">
      <c r="A66" s="13" t="s">
        <v>76</v>
      </c>
      <c r="B66" s="13" t="s">
        <v>78</v>
      </c>
      <c r="C66" s="14">
        <v>1</v>
      </c>
      <c r="D66" s="15">
        <v>708</v>
      </c>
      <c r="E66" s="15">
        <v>319</v>
      </c>
      <c r="F66" s="15">
        <v>389</v>
      </c>
      <c r="G66" s="16">
        <v>0.22761849034523113</v>
      </c>
      <c r="H66" s="17">
        <v>0.03</v>
      </c>
      <c r="I66" s="18">
        <v>32</v>
      </c>
      <c r="J66" s="18">
        <v>1708</v>
      </c>
      <c r="K66" s="19"/>
      <c r="AA66">
        <f t="shared" si="0"/>
        <v>36</v>
      </c>
    </row>
    <row r="67" spans="1:27" ht="15" thickBot="1">
      <c r="A67" s="13" t="s">
        <v>79</v>
      </c>
      <c r="B67" s="13" t="s">
        <v>29</v>
      </c>
      <c r="C67" s="14">
        <v>1</v>
      </c>
      <c r="D67" s="15">
        <v>27058</v>
      </c>
      <c r="E67" s="15">
        <v>21427</v>
      </c>
      <c r="F67" s="15">
        <v>5631</v>
      </c>
      <c r="G67" s="16">
        <v>7.397238679505537E-2</v>
      </c>
      <c r="H67" s="17">
        <v>0.03</v>
      </c>
      <c r="I67" s="18">
        <v>98</v>
      </c>
      <c r="J67" s="18">
        <v>76123</v>
      </c>
      <c r="K67" s="19" t="s">
        <v>17</v>
      </c>
      <c r="AA67">
        <f t="shared" si="0"/>
        <v>37</v>
      </c>
    </row>
    <row r="68" spans="1:27" ht="15" thickBot="1">
      <c r="A68" s="13" t="s">
        <v>79</v>
      </c>
      <c r="B68" s="13" t="s">
        <v>80</v>
      </c>
      <c r="C68" s="14">
        <v>1</v>
      </c>
      <c r="D68" s="15">
        <v>5662</v>
      </c>
      <c r="E68" s="15">
        <v>3101</v>
      </c>
      <c r="F68" s="15">
        <v>2561</v>
      </c>
      <c r="G68" s="16">
        <v>3.364292001103477E-2</v>
      </c>
      <c r="H68" s="17">
        <v>0.03</v>
      </c>
      <c r="I68" s="18">
        <v>216</v>
      </c>
      <c r="J68" s="18">
        <v>20484</v>
      </c>
      <c r="K68" s="19"/>
      <c r="AA68">
        <f t="shared" ref="AA68:AA121" si="1">IF(A68=A67,AA67,1+AA67)</f>
        <v>37</v>
      </c>
    </row>
    <row r="69" spans="1:27" ht="15" thickBot="1">
      <c r="A69" s="13" t="s">
        <v>81</v>
      </c>
      <c r="B69" s="13" t="s">
        <v>75</v>
      </c>
      <c r="C69" s="14">
        <v>1</v>
      </c>
      <c r="D69" s="15">
        <v>1183</v>
      </c>
      <c r="E69" s="15">
        <v>791</v>
      </c>
      <c r="F69" s="15">
        <v>392</v>
      </c>
      <c r="G69" s="16">
        <v>9.9140111279716739E-2</v>
      </c>
      <c r="H69" s="17">
        <v>0.03</v>
      </c>
      <c r="I69" s="18">
        <v>73</v>
      </c>
      <c r="J69" s="18">
        <v>3954</v>
      </c>
      <c r="K69" s="19" t="s">
        <v>17</v>
      </c>
      <c r="AA69">
        <f t="shared" si="1"/>
        <v>38</v>
      </c>
    </row>
    <row r="70" spans="1:27" ht="15" thickBot="1">
      <c r="A70" s="13" t="s">
        <v>81</v>
      </c>
      <c r="B70" s="13" t="s">
        <v>16</v>
      </c>
      <c r="C70" s="14">
        <v>1</v>
      </c>
      <c r="D70" s="15">
        <v>891</v>
      </c>
      <c r="E70" s="15">
        <v>597</v>
      </c>
      <c r="F70" s="15">
        <v>294</v>
      </c>
      <c r="G70" s="16">
        <v>7.4355083459787558E-2</v>
      </c>
      <c r="H70" s="17">
        <v>0.03</v>
      </c>
      <c r="I70" s="18">
        <v>98</v>
      </c>
      <c r="J70" s="18">
        <v>3954</v>
      </c>
      <c r="K70" s="19" t="s">
        <v>17</v>
      </c>
      <c r="AA70">
        <f t="shared" si="1"/>
        <v>38</v>
      </c>
    </row>
    <row r="71" spans="1:27" ht="15" thickBot="1">
      <c r="A71" s="13" t="s">
        <v>82</v>
      </c>
      <c r="B71" s="13" t="s">
        <v>16</v>
      </c>
      <c r="C71" s="14">
        <v>1</v>
      </c>
      <c r="D71" s="15">
        <v>554</v>
      </c>
      <c r="E71" s="15">
        <v>312</v>
      </c>
      <c r="F71" s="15">
        <v>242</v>
      </c>
      <c r="G71" s="16">
        <v>0.18558282208588958</v>
      </c>
      <c r="H71" s="17">
        <v>0.03</v>
      </c>
      <c r="I71" s="18">
        <v>39</v>
      </c>
      <c r="J71" s="18">
        <v>1304</v>
      </c>
      <c r="K71" s="19" t="s">
        <v>17</v>
      </c>
      <c r="AA71">
        <f t="shared" si="1"/>
        <v>39</v>
      </c>
    </row>
    <row r="72" spans="1:27" ht="15" thickBot="1">
      <c r="A72" s="13" t="s">
        <v>83</v>
      </c>
      <c r="B72" s="13" t="s">
        <v>24</v>
      </c>
      <c r="C72" s="14">
        <v>1</v>
      </c>
      <c r="D72" s="15">
        <v>610</v>
      </c>
      <c r="E72" s="15">
        <v>229</v>
      </c>
      <c r="F72" s="15">
        <v>381</v>
      </c>
      <c r="G72" s="16">
        <v>7.8963730569948182E-2</v>
      </c>
      <c r="H72" s="17">
        <v>0.03</v>
      </c>
      <c r="I72" s="18">
        <v>92</v>
      </c>
      <c r="J72" s="18">
        <v>4825</v>
      </c>
      <c r="K72" s="23" t="s">
        <v>17</v>
      </c>
      <c r="AA72">
        <f t="shared" si="1"/>
        <v>40</v>
      </c>
    </row>
    <row r="73" spans="1:27" ht="15" thickBot="1">
      <c r="A73" s="13" t="s">
        <v>83</v>
      </c>
      <c r="B73" s="13" t="s">
        <v>16</v>
      </c>
      <c r="C73" s="14">
        <v>1</v>
      </c>
      <c r="D73" s="15">
        <v>1954</v>
      </c>
      <c r="E73" s="15">
        <v>1235</v>
      </c>
      <c r="F73" s="15">
        <v>719</v>
      </c>
      <c r="G73" s="16">
        <v>0.14901554404145079</v>
      </c>
      <c r="H73" s="17">
        <v>0.03</v>
      </c>
      <c r="I73" s="18">
        <v>48</v>
      </c>
      <c r="J73" s="18">
        <v>4825</v>
      </c>
      <c r="K73" s="19" t="s">
        <v>17</v>
      </c>
      <c r="AA73">
        <f t="shared" si="1"/>
        <v>40</v>
      </c>
    </row>
    <row r="74" spans="1:27" ht="15" thickBot="1">
      <c r="A74" s="13" t="s">
        <v>84</v>
      </c>
      <c r="B74" s="13" t="s">
        <v>29</v>
      </c>
      <c r="C74" s="14">
        <v>1</v>
      </c>
      <c r="D74" s="15">
        <v>9865</v>
      </c>
      <c r="E74" s="15">
        <v>6906</v>
      </c>
      <c r="F74" s="15">
        <v>2959</v>
      </c>
      <c r="G74" s="16">
        <v>6.7274463441251361E-2</v>
      </c>
      <c r="H74" s="17">
        <v>0.03</v>
      </c>
      <c r="I74" s="18">
        <v>108</v>
      </c>
      <c r="J74" s="18">
        <v>43984</v>
      </c>
      <c r="K74" s="19" t="s">
        <v>17</v>
      </c>
      <c r="AA74">
        <f t="shared" si="1"/>
        <v>41</v>
      </c>
    </row>
    <row r="75" spans="1:27" ht="15" thickBot="1">
      <c r="A75" s="13" t="s">
        <v>84</v>
      </c>
      <c r="B75" s="13" t="s">
        <v>16</v>
      </c>
      <c r="C75" s="14">
        <v>1</v>
      </c>
      <c r="D75" s="15">
        <v>13675</v>
      </c>
      <c r="E75" s="15">
        <v>10010</v>
      </c>
      <c r="F75" s="15">
        <v>3665</v>
      </c>
      <c r="G75" s="16">
        <v>8.3325754819934525E-2</v>
      </c>
      <c r="H75" s="17">
        <v>0.03</v>
      </c>
      <c r="I75" s="18">
        <v>87</v>
      </c>
      <c r="J75" s="18">
        <v>43984</v>
      </c>
      <c r="K75" s="19" t="s">
        <v>17</v>
      </c>
      <c r="AA75">
        <f t="shared" si="1"/>
        <v>41</v>
      </c>
    </row>
    <row r="76" spans="1:27" ht="15" thickBot="1">
      <c r="A76" s="13" t="s">
        <v>85</v>
      </c>
      <c r="B76" s="13" t="s">
        <v>43</v>
      </c>
      <c r="C76" s="14">
        <v>1</v>
      </c>
      <c r="D76" s="15">
        <v>112</v>
      </c>
      <c r="E76" s="15">
        <v>68</v>
      </c>
      <c r="F76" s="15">
        <v>44</v>
      </c>
      <c r="G76" s="16">
        <v>0.1111111111111111</v>
      </c>
      <c r="H76" s="17">
        <v>0.03</v>
      </c>
      <c r="I76" s="18">
        <v>65</v>
      </c>
      <c r="J76" s="18">
        <v>396</v>
      </c>
      <c r="K76" s="19" t="s">
        <v>17</v>
      </c>
      <c r="AA76">
        <f t="shared" si="1"/>
        <v>42</v>
      </c>
    </row>
    <row r="77" spans="1:27" ht="15" thickBot="1">
      <c r="A77" s="13" t="s">
        <v>85</v>
      </c>
      <c r="B77" s="13" t="s">
        <v>24</v>
      </c>
      <c r="C77" s="14">
        <v>1</v>
      </c>
      <c r="D77" s="15">
        <v>100</v>
      </c>
      <c r="E77" s="15">
        <v>33</v>
      </c>
      <c r="F77" s="15">
        <v>67</v>
      </c>
      <c r="G77" s="16">
        <v>0.1691919191919192</v>
      </c>
      <c r="H77" s="17">
        <v>0.03</v>
      </c>
      <c r="I77" s="18">
        <v>43</v>
      </c>
      <c r="J77" s="18">
        <v>396</v>
      </c>
      <c r="K77" s="19" t="s">
        <v>17</v>
      </c>
      <c r="AA77">
        <f t="shared" si="1"/>
        <v>42</v>
      </c>
    </row>
    <row r="78" spans="1:27" ht="15" thickBot="1">
      <c r="A78" s="13" t="s">
        <v>86</v>
      </c>
      <c r="B78" s="13" t="s">
        <v>87</v>
      </c>
      <c r="C78" s="14">
        <v>1</v>
      </c>
      <c r="D78" s="15">
        <v>1337</v>
      </c>
      <c r="E78" s="15">
        <v>1041</v>
      </c>
      <c r="F78" s="15">
        <v>296</v>
      </c>
      <c r="G78" s="16">
        <v>0.10249307479224377</v>
      </c>
      <c r="H78" s="17">
        <v>0.03</v>
      </c>
      <c r="I78" s="18">
        <v>71</v>
      </c>
      <c r="J78" s="18">
        <v>2888</v>
      </c>
      <c r="K78" s="19"/>
      <c r="AA78">
        <f t="shared" si="1"/>
        <v>43</v>
      </c>
    </row>
    <row r="79" spans="1:27" ht="15" thickBot="1">
      <c r="A79" s="13" t="s">
        <v>88</v>
      </c>
      <c r="B79" s="13" t="s">
        <v>24</v>
      </c>
      <c r="C79" s="14">
        <v>1</v>
      </c>
      <c r="D79" s="15">
        <v>1216</v>
      </c>
      <c r="E79" s="15">
        <v>349</v>
      </c>
      <c r="F79" s="15">
        <v>867</v>
      </c>
      <c r="G79" s="16">
        <v>0.14697406340057637</v>
      </c>
      <c r="H79" s="17">
        <v>0.03</v>
      </c>
      <c r="I79" s="18">
        <v>49</v>
      </c>
      <c r="J79" s="18">
        <v>5899</v>
      </c>
      <c r="K79" s="19" t="s">
        <v>17</v>
      </c>
      <c r="AA79">
        <f t="shared" si="1"/>
        <v>44</v>
      </c>
    </row>
    <row r="80" spans="1:27" ht="15" thickBot="1">
      <c r="A80" s="13" t="s">
        <v>88</v>
      </c>
      <c r="B80" s="13" t="s">
        <v>89</v>
      </c>
      <c r="C80" s="14">
        <v>1</v>
      </c>
      <c r="D80" s="15">
        <v>2016</v>
      </c>
      <c r="E80" s="15">
        <v>1046</v>
      </c>
      <c r="F80" s="15">
        <v>970</v>
      </c>
      <c r="G80" s="16">
        <v>0.16443464994066792</v>
      </c>
      <c r="H80" s="17">
        <v>0.03</v>
      </c>
      <c r="I80" s="18">
        <v>44</v>
      </c>
      <c r="J80" s="18">
        <v>5899</v>
      </c>
      <c r="K80" s="19"/>
      <c r="AA80">
        <f t="shared" si="1"/>
        <v>44</v>
      </c>
    </row>
    <row r="81" spans="1:27" ht="15" thickBot="1">
      <c r="A81" s="13" t="s">
        <v>90</v>
      </c>
      <c r="B81" s="13" t="s">
        <v>38</v>
      </c>
      <c r="C81" s="14">
        <v>1</v>
      </c>
      <c r="D81" s="15">
        <v>3632</v>
      </c>
      <c r="E81" s="15">
        <v>2070</v>
      </c>
      <c r="F81" s="15">
        <v>1562</v>
      </c>
      <c r="G81" s="16">
        <v>0.12751020408163266</v>
      </c>
      <c r="H81" s="17">
        <v>0.03</v>
      </c>
      <c r="I81" s="18">
        <v>57</v>
      </c>
      <c r="J81" s="18">
        <v>12250</v>
      </c>
      <c r="K81" s="19" t="s">
        <v>17</v>
      </c>
      <c r="AA81">
        <f t="shared" si="1"/>
        <v>45</v>
      </c>
    </row>
    <row r="82" spans="1:27" ht="15" thickBot="1">
      <c r="A82" s="13" t="s">
        <v>90</v>
      </c>
      <c r="B82" s="13" t="s">
        <v>35</v>
      </c>
      <c r="C82" s="14">
        <v>1</v>
      </c>
      <c r="D82" s="15">
        <v>2554</v>
      </c>
      <c r="E82" s="15">
        <v>1532</v>
      </c>
      <c r="F82" s="15">
        <v>1022</v>
      </c>
      <c r="G82" s="16">
        <v>8.3428571428571435E-2</v>
      </c>
      <c r="H82" s="17">
        <v>0.03</v>
      </c>
      <c r="I82" s="18">
        <v>87</v>
      </c>
      <c r="J82" s="18">
        <v>12250</v>
      </c>
      <c r="K82" s="19" t="s">
        <v>17</v>
      </c>
      <c r="AA82">
        <f t="shared" si="1"/>
        <v>45</v>
      </c>
    </row>
    <row r="83" spans="1:27" ht="15" thickBot="1">
      <c r="A83" s="13" t="s">
        <v>91</v>
      </c>
      <c r="B83" s="13" t="s">
        <v>24</v>
      </c>
      <c r="C83" s="14">
        <v>1</v>
      </c>
      <c r="D83" s="15">
        <v>764</v>
      </c>
      <c r="E83" s="15">
        <v>312</v>
      </c>
      <c r="F83" s="15">
        <v>452</v>
      </c>
      <c r="G83" s="16">
        <v>8.6739589330262906E-2</v>
      </c>
      <c r="H83" s="17">
        <v>0.03</v>
      </c>
      <c r="I83" s="18">
        <v>84</v>
      </c>
      <c r="J83" s="18">
        <v>5211</v>
      </c>
      <c r="K83" s="19" t="s">
        <v>17</v>
      </c>
      <c r="AA83">
        <f t="shared" si="1"/>
        <v>46</v>
      </c>
    </row>
    <row r="84" spans="1:27" ht="15" thickBot="1">
      <c r="A84" s="13" t="s">
        <v>91</v>
      </c>
      <c r="B84" s="13" t="s">
        <v>16</v>
      </c>
      <c r="C84" s="14">
        <v>1</v>
      </c>
      <c r="D84" s="15">
        <v>1935</v>
      </c>
      <c r="E84" s="15">
        <v>1282</v>
      </c>
      <c r="F84" s="15">
        <v>653</v>
      </c>
      <c r="G84" s="16">
        <v>0.12531184033774706</v>
      </c>
      <c r="H84" s="17">
        <v>0.03</v>
      </c>
      <c r="I84" s="18">
        <v>58</v>
      </c>
      <c r="J84" s="18">
        <v>5211</v>
      </c>
      <c r="K84" s="19" t="s">
        <v>17</v>
      </c>
      <c r="AA84">
        <f t="shared" si="1"/>
        <v>46</v>
      </c>
    </row>
    <row r="85" spans="1:27" ht="15" thickBot="1">
      <c r="A85" s="13" t="s">
        <v>92</v>
      </c>
      <c r="B85" s="13" t="s">
        <v>75</v>
      </c>
      <c r="C85" s="14">
        <v>1</v>
      </c>
      <c r="D85" s="15">
        <v>973</v>
      </c>
      <c r="E85" s="15">
        <v>527</v>
      </c>
      <c r="F85" s="15">
        <v>446</v>
      </c>
      <c r="G85" s="16">
        <v>0.10958230958230958</v>
      </c>
      <c r="H85" s="17">
        <v>0.03</v>
      </c>
      <c r="I85" s="18">
        <v>66</v>
      </c>
      <c r="J85" s="18">
        <v>1601</v>
      </c>
      <c r="K85" s="19" t="s">
        <v>17</v>
      </c>
      <c r="AA85">
        <f t="shared" si="1"/>
        <v>47</v>
      </c>
    </row>
    <row r="86" spans="1:27" ht="15" thickBot="1">
      <c r="A86" s="13" t="s">
        <v>92</v>
      </c>
      <c r="B86" s="13" t="s">
        <v>38</v>
      </c>
      <c r="C86" s="14">
        <v>1</v>
      </c>
      <c r="D86" s="15">
        <v>1226</v>
      </c>
      <c r="E86" s="15">
        <v>630</v>
      </c>
      <c r="F86" s="15">
        <v>596</v>
      </c>
      <c r="G86" s="16">
        <v>0.14643734643734643</v>
      </c>
      <c r="H86" s="17">
        <v>0.03</v>
      </c>
      <c r="I86" s="18">
        <v>49</v>
      </c>
      <c r="J86" s="18">
        <v>2464</v>
      </c>
      <c r="K86" s="19" t="s">
        <v>17</v>
      </c>
      <c r="AA86">
        <f t="shared" si="1"/>
        <v>47</v>
      </c>
    </row>
    <row r="87" spans="1:27" ht="15" thickBot="1">
      <c r="A87" s="13" t="s">
        <v>93</v>
      </c>
      <c r="B87" s="13" t="s">
        <v>43</v>
      </c>
      <c r="C87" s="14">
        <v>1</v>
      </c>
      <c r="D87" s="15">
        <v>421</v>
      </c>
      <c r="E87" s="15">
        <v>276</v>
      </c>
      <c r="F87" s="15">
        <v>145</v>
      </c>
      <c r="G87" s="16">
        <v>7.2499999999999995E-2</v>
      </c>
      <c r="H87" s="17">
        <v>0.03</v>
      </c>
      <c r="I87" s="18">
        <v>100</v>
      </c>
      <c r="J87" s="18">
        <v>2000</v>
      </c>
      <c r="K87" s="19" t="s">
        <v>17</v>
      </c>
      <c r="AA87">
        <f t="shared" si="1"/>
        <v>48</v>
      </c>
    </row>
    <row r="88" spans="1:27" ht="15" thickBot="1">
      <c r="A88" s="13" t="s">
        <v>93</v>
      </c>
      <c r="B88" s="13" t="s">
        <v>29</v>
      </c>
      <c r="C88" s="14">
        <v>1</v>
      </c>
      <c r="D88" s="15">
        <v>699</v>
      </c>
      <c r="E88" s="15">
        <v>575</v>
      </c>
      <c r="F88" s="15">
        <v>124</v>
      </c>
      <c r="G88" s="16">
        <v>6.2E-2</v>
      </c>
      <c r="H88" s="17">
        <v>0.03</v>
      </c>
      <c r="I88" s="18">
        <v>117</v>
      </c>
      <c r="J88" s="18">
        <v>2000</v>
      </c>
      <c r="K88" s="19" t="s">
        <v>17</v>
      </c>
      <c r="AA88">
        <f t="shared" si="1"/>
        <v>48</v>
      </c>
    </row>
    <row r="89" spans="1:27" ht="15" thickBot="1">
      <c r="A89" s="13" t="s">
        <v>94</v>
      </c>
      <c r="B89" s="13" t="s">
        <v>35</v>
      </c>
      <c r="C89" s="14">
        <v>1</v>
      </c>
      <c r="D89" s="15">
        <v>1325</v>
      </c>
      <c r="E89" s="15">
        <v>787</v>
      </c>
      <c r="F89" s="15">
        <v>538</v>
      </c>
      <c r="G89" s="16">
        <v>9.1855898924364007E-2</v>
      </c>
      <c r="H89" s="17">
        <v>0.03</v>
      </c>
      <c r="I89" s="18">
        <v>79</v>
      </c>
      <c r="J89" s="18">
        <v>5857</v>
      </c>
      <c r="K89" s="19" t="s">
        <v>17</v>
      </c>
      <c r="AA89">
        <f t="shared" si="1"/>
        <v>49</v>
      </c>
    </row>
    <row r="90" spans="1:27" ht="15" thickBot="1">
      <c r="A90" s="13" t="s">
        <v>94</v>
      </c>
      <c r="B90" s="13" t="s">
        <v>95</v>
      </c>
      <c r="C90" s="14">
        <v>1</v>
      </c>
      <c r="D90" s="15">
        <v>1729</v>
      </c>
      <c r="E90" s="15">
        <v>1534</v>
      </c>
      <c r="F90" s="15">
        <v>195</v>
      </c>
      <c r="G90" s="16">
        <v>3.3293494963291786E-2</v>
      </c>
      <c r="H90" s="17">
        <v>0.03</v>
      </c>
      <c r="I90" s="18">
        <v>218</v>
      </c>
      <c r="J90" s="18">
        <v>5857</v>
      </c>
      <c r="K90" s="19"/>
      <c r="AA90">
        <f t="shared" si="1"/>
        <v>49</v>
      </c>
    </row>
    <row r="91" spans="1:27" ht="15" thickBot="1">
      <c r="A91" s="13" t="s">
        <v>96</v>
      </c>
      <c r="B91" s="13" t="s">
        <v>16</v>
      </c>
      <c r="C91" s="14">
        <v>1</v>
      </c>
      <c r="D91" s="15">
        <v>494</v>
      </c>
      <c r="E91" s="15">
        <v>334</v>
      </c>
      <c r="F91" s="15">
        <v>160</v>
      </c>
      <c r="G91" s="16">
        <v>0.12432012432012432</v>
      </c>
      <c r="H91" s="17">
        <v>0.03</v>
      </c>
      <c r="I91" s="18">
        <v>58</v>
      </c>
      <c r="J91" s="18">
        <v>1287</v>
      </c>
      <c r="K91" s="19" t="s">
        <v>17</v>
      </c>
      <c r="AA91">
        <f t="shared" si="1"/>
        <v>50</v>
      </c>
    </row>
    <row r="92" spans="1:27" ht="15" thickBot="1">
      <c r="A92" s="13" t="s">
        <v>97</v>
      </c>
      <c r="B92" s="13" t="s">
        <v>43</v>
      </c>
      <c r="C92" s="14">
        <v>1</v>
      </c>
      <c r="D92" s="15">
        <v>584</v>
      </c>
      <c r="E92" s="15">
        <v>232</v>
      </c>
      <c r="F92" s="15">
        <v>352</v>
      </c>
      <c r="G92" s="16">
        <v>7.177814029363784E-2</v>
      </c>
      <c r="H92" s="17">
        <v>0.03</v>
      </c>
      <c r="I92" s="18">
        <v>101</v>
      </c>
      <c r="J92" s="18">
        <v>4904</v>
      </c>
      <c r="K92" s="19" t="s">
        <v>17</v>
      </c>
      <c r="AA92">
        <f t="shared" si="1"/>
        <v>51</v>
      </c>
    </row>
    <row r="93" spans="1:27" ht="15" thickBot="1">
      <c r="A93" s="13" t="s">
        <v>97</v>
      </c>
      <c r="B93" s="13" t="s">
        <v>35</v>
      </c>
      <c r="C93" s="14">
        <v>1</v>
      </c>
      <c r="D93" s="15">
        <v>1725</v>
      </c>
      <c r="E93" s="15">
        <v>1413</v>
      </c>
      <c r="F93" s="15">
        <v>312</v>
      </c>
      <c r="G93" s="16">
        <v>6.3621533442088096E-2</v>
      </c>
      <c r="H93" s="17">
        <v>0.03</v>
      </c>
      <c r="I93" s="18">
        <v>114</v>
      </c>
      <c r="J93" s="18">
        <v>4904</v>
      </c>
      <c r="K93" s="19" t="s">
        <v>17</v>
      </c>
      <c r="AA93">
        <f t="shared" si="1"/>
        <v>51</v>
      </c>
    </row>
    <row r="94" spans="1:27" ht="15" thickBot="1">
      <c r="A94" s="13" t="s">
        <v>98</v>
      </c>
      <c r="B94" s="13" t="s">
        <v>24</v>
      </c>
      <c r="C94" s="14">
        <v>1</v>
      </c>
      <c r="D94" s="15">
        <v>324</v>
      </c>
      <c r="E94" s="15">
        <v>99</v>
      </c>
      <c r="F94" s="15">
        <v>225</v>
      </c>
      <c r="G94" s="16">
        <v>9.9118942731277526E-2</v>
      </c>
      <c r="H94" s="17">
        <v>0.03</v>
      </c>
      <c r="I94" s="18">
        <v>73</v>
      </c>
      <c r="J94" s="18">
        <v>2270</v>
      </c>
      <c r="K94" s="19" t="s">
        <v>17</v>
      </c>
      <c r="AA94">
        <f t="shared" si="1"/>
        <v>52</v>
      </c>
    </row>
    <row r="95" spans="1:27" ht="15" thickBot="1">
      <c r="A95" s="13" t="s">
        <v>98</v>
      </c>
      <c r="B95" s="13" t="s">
        <v>16</v>
      </c>
      <c r="C95" s="14">
        <v>1</v>
      </c>
      <c r="D95" s="15">
        <v>837</v>
      </c>
      <c r="E95" s="15">
        <v>565</v>
      </c>
      <c r="F95" s="15">
        <v>272</v>
      </c>
      <c r="G95" s="16">
        <v>0.1198237885462555</v>
      </c>
      <c r="H95" s="17">
        <v>0.03</v>
      </c>
      <c r="I95" s="18">
        <v>60</v>
      </c>
      <c r="J95" s="18">
        <v>2270</v>
      </c>
      <c r="K95" s="19" t="s">
        <v>17</v>
      </c>
      <c r="AA95">
        <f t="shared" si="1"/>
        <v>52</v>
      </c>
    </row>
    <row r="96" spans="1:27" ht="15" thickBot="1">
      <c r="A96" s="13" t="s">
        <v>99</v>
      </c>
      <c r="B96" s="13" t="s">
        <v>16</v>
      </c>
      <c r="C96" s="14">
        <v>1</v>
      </c>
      <c r="D96" s="15">
        <v>8642</v>
      </c>
      <c r="E96" s="15">
        <v>5651</v>
      </c>
      <c r="F96" s="15">
        <v>2991</v>
      </c>
      <c r="G96" s="16">
        <v>7.6929012345679018E-2</v>
      </c>
      <c r="H96" s="17">
        <v>0.03</v>
      </c>
      <c r="I96" s="18">
        <v>94</v>
      </c>
      <c r="J96" s="18">
        <v>38880</v>
      </c>
      <c r="K96" s="19" t="s">
        <v>17</v>
      </c>
      <c r="AA96">
        <f t="shared" si="1"/>
        <v>53</v>
      </c>
    </row>
    <row r="97" spans="1:27" ht="15" thickBot="1">
      <c r="A97" s="13" t="s">
        <v>99</v>
      </c>
      <c r="B97" s="13" t="s">
        <v>100</v>
      </c>
      <c r="C97" s="14">
        <v>1</v>
      </c>
      <c r="D97" s="15">
        <v>12403</v>
      </c>
      <c r="E97" s="15">
        <v>9708</v>
      </c>
      <c r="F97" s="15">
        <v>2695</v>
      </c>
      <c r="G97" s="16">
        <v>6.931584362139917E-2</v>
      </c>
      <c r="H97" s="17">
        <v>0.03</v>
      </c>
      <c r="I97" s="18">
        <v>105</v>
      </c>
      <c r="J97" s="18">
        <v>38878</v>
      </c>
      <c r="K97" s="19"/>
      <c r="AA97">
        <f t="shared" si="1"/>
        <v>53</v>
      </c>
    </row>
    <row r="98" spans="1:27" ht="15" thickBot="1">
      <c r="A98" s="13" t="s">
        <v>101</v>
      </c>
      <c r="B98" s="13" t="s">
        <v>102</v>
      </c>
      <c r="C98" s="14">
        <v>1</v>
      </c>
      <c r="D98" s="15">
        <v>1238</v>
      </c>
      <c r="E98" s="15">
        <v>739</v>
      </c>
      <c r="F98" s="15">
        <v>499</v>
      </c>
      <c r="G98" s="16">
        <v>0.22692132787630742</v>
      </c>
      <c r="H98" s="17">
        <v>0.03</v>
      </c>
      <c r="I98" s="18">
        <v>32</v>
      </c>
      <c r="J98" s="18">
        <v>2198</v>
      </c>
      <c r="K98" s="19"/>
      <c r="AA98">
        <f t="shared" si="1"/>
        <v>54</v>
      </c>
    </row>
    <row r="99" spans="1:27" ht="15" thickBot="1">
      <c r="A99" s="13" t="s">
        <v>103</v>
      </c>
      <c r="B99" s="13" t="s">
        <v>24</v>
      </c>
      <c r="C99" s="14">
        <v>1</v>
      </c>
      <c r="D99" s="15">
        <v>623</v>
      </c>
      <c r="E99" s="15">
        <v>267</v>
      </c>
      <c r="F99" s="15">
        <v>356</v>
      </c>
      <c r="G99" s="16">
        <v>0.1136653895274585</v>
      </c>
      <c r="H99" s="17">
        <v>0.03</v>
      </c>
      <c r="I99" s="18">
        <v>64</v>
      </c>
      <c r="J99" s="18">
        <v>3132</v>
      </c>
      <c r="K99" s="19" t="s">
        <v>17</v>
      </c>
      <c r="AA99">
        <f t="shared" si="1"/>
        <v>55</v>
      </c>
    </row>
    <row r="100" spans="1:27" ht="15" thickBot="1">
      <c r="A100" s="13" t="s">
        <v>103</v>
      </c>
      <c r="B100" s="13" t="s">
        <v>104</v>
      </c>
      <c r="C100" s="14">
        <v>1</v>
      </c>
      <c r="D100" s="15">
        <v>1076</v>
      </c>
      <c r="E100" s="15">
        <v>753</v>
      </c>
      <c r="F100" s="15">
        <v>323</v>
      </c>
      <c r="G100" s="16">
        <v>0.10312899106002554</v>
      </c>
      <c r="H100" s="17">
        <v>0.03</v>
      </c>
      <c r="I100" s="18">
        <v>70</v>
      </c>
      <c r="J100" s="18">
        <v>3132</v>
      </c>
      <c r="K100" s="19"/>
      <c r="AA100">
        <f t="shared" si="1"/>
        <v>55</v>
      </c>
    </row>
    <row r="101" spans="1:27" ht="15" thickBot="1">
      <c r="A101" s="13" t="s">
        <v>105</v>
      </c>
      <c r="B101" s="13" t="s">
        <v>16</v>
      </c>
      <c r="C101" s="14">
        <v>1</v>
      </c>
      <c r="D101" s="15">
        <v>844</v>
      </c>
      <c r="E101" s="15">
        <v>570</v>
      </c>
      <c r="F101" s="15">
        <v>274</v>
      </c>
      <c r="G101" s="16">
        <v>4.407270387646775E-2</v>
      </c>
      <c r="H101" s="17">
        <v>0.03</v>
      </c>
      <c r="I101" s="18">
        <v>165</v>
      </c>
      <c r="J101" s="18">
        <v>6217</v>
      </c>
      <c r="K101" s="19" t="s">
        <v>17</v>
      </c>
      <c r="AA101">
        <f t="shared" si="1"/>
        <v>56</v>
      </c>
    </row>
    <row r="102" spans="1:27" ht="15" thickBot="1">
      <c r="A102" s="13" t="s">
        <v>105</v>
      </c>
      <c r="B102" s="13" t="s">
        <v>106</v>
      </c>
      <c r="C102" s="14">
        <v>1</v>
      </c>
      <c r="D102" s="15">
        <v>1244</v>
      </c>
      <c r="E102" s="15">
        <v>927</v>
      </c>
      <c r="F102" s="15">
        <v>317</v>
      </c>
      <c r="G102" s="16">
        <v>5.0989223097957212E-2</v>
      </c>
      <c r="H102" s="17">
        <v>0.03</v>
      </c>
      <c r="I102" s="18">
        <v>142</v>
      </c>
      <c r="J102" s="18">
        <v>6211</v>
      </c>
      <c r="K102" s="19" t="s">
        <v>17</v>
      </c>
      <c r="AA102">
        <f t="shared" si="1"/>
        <v>56</v>
      </c>
    </row>
    <row r="103" spans="1:27" ht="15" thickBot="1">
      <c r="A103" s="13" t="s">
        <v>107</v>
      </c>
      <c r="B103" s="13" t="s">
        <v>43</v>
      </c>
      <c r="C103" s="14">
        <v>1</v>
      </c>
      <c r="D103" s="15">
        <v>352</v>
      </c>
      <c r="E103" s="15">
        <v>206</v>
      </c>
      <c r="F103" s="15">
        <v>146</v>
      </c>
      <c r="G103" s="16">
        <v>8.9846153846153839E-2</v>
      </c>
      <c r="H103" s="17">
        <v>0.03</v>
      </c>
      <c r="I103" s="18">
        <v>81</v>
      </c>
      <c r="J103" s="18">
        <v>1625</v>
      </c>
      <c r="K103" s="19" t="s">
        <v>17</v>
      </c>
      <c r="AA103">
        <f t="shared" si="1"/>
        <v>57</v>
      </c>
    </row>
    <row r="104" spans="1:27" ht="15" thickBot="1">
      <c r="A104" s="13" t="s">
        <v>107</v>
      </c>
      <c r="B104" s="13" t="s">
        <v>35</v>
      </c>
      <c r="C104" s="14">
        <v>1</v>
      </c>
      <c r="D104" s="15">
        <v>608</v>
      </c>
      <c r="E104" s="15">
        <v>323</v>
      </c>
      <c r="F104" s="15">
        <v>285</v>
      </c>
      <c r="G104" s="16">
        <v>0.17538461538461539</v>
      </c>
      <c r="H104" s="17">
        <v>0.03</v>
      </c>
      <c r="I104" s="18">
        <v>41</v>
      </c>
      <c r="J104" s="18">
        <v>1625</v>
      </c>
      <c r="K104" s="19" t="s">
        <v>17</v>
      </c>
      <c r="AA104">
        <f t="shared" si="1"/>
        <v>57</v>
      </c>
    </row>
    <row r="105" spans="1:27" ht="15" thickBot="1">
      <c r="A105" s="13" t="s">
        <v>108</v>
      </c>
      <c r="B105" s="13" t="s">
        <v>75</v>
      </c>
      <c r="C105" s="14">
        <v>1</v>
      </c>
      <c r="D105" s="15">
        <v>720</v>
      </c>
      <c r="E105" s="15">
        <v>569</v>
      </c>
      <c r="F105" s="15">
        <v>151</v>
      </c>
      <c r="G105" s="16">
        <v>7.9473684210526321E-2</v>
      </c>
      <c r="H105" s="17">
        <v>0.03</v>
      </c>
      <c r="I105" s="18">
        <v>91</v>
      </c>
      <c r="J105" s="18">
        <v>1896</v>
      </c>
      <c r="K105" s="19" t="s">
        <v>17</v>
      </c>
      <c r="AA105">
        <f t="shared" si="1"/>
        <v>58</v>
      </c>
    </row>
    <row r="106" spans="1:27" ht="15" thickBot="1">
      <c r="A106" s="13" t="s">
        <v>108</v>
      </c>
      <c r="B106" s="13" t="s">
        <v>43</v>
      </c>
      <c r="C106" s="14">
        <v>1</v>
      </c>
      <c r="D106" s="15">
        <v>219</v>
      </c>
      <c r="E106" s="15">
        <v>113</v>
      </c>
      <c r="F106" s="15">
        <v>106</v>
      </c>
      <c r="G106" s="16">
        <v>5.5789473684210528E-2</v>
      </c>
      <c r="H106" s="17">
        <v>0.03</v>
      </c>
      <c r="I106" s="18">
        <v>130</v>
      </c>
      <c r="J106" s="18">
        <v>1896</v>
      </c>
      <c r="K106" s="19" t="s">
        <v>17</v>
      </c>
      <c r="AA106">
        <f t="shared" si="1"/>
        <v>58</v>
      </c>
    </row>
    <row r="107" spans="1:27" ht="15" thickBot="1">
      <c r="A107" s="13" t="s">
        <v>109</v>
      </c>
      <c r="B107" s="13" t="s">
        <v>16</v>
      </c>
      <c r="C107" s="14">
        <v>1</v>
      </c>
      <c r="D107" s="15">
        <v>299</v>
      </c>
      <c r="E107" s="15">
        <v>186</v>
      </c>
      <c r="F107" s="15">
        <v>113</v>
      </c>
      <c r="G107" s="16">
        <v>0.14160401002506265</v>
      </c>
      <c r="H107" s="17">
        <v>0.03</v>
      </c>
      <c r="I107" s="18">
        <v>51</v>
      </c>
      <c r="J107" s="18">
        <v>798</v>
      </c>
      <c r="K107" s="19" t="s">
        <v>17</v>
      </c>
      <c r="AA107">
        <f t="shared" si="1"/>
        <v>59</v>
      </c>
    </row>
    <row r="108" spans="1:27" ht="15" thickBot="1">
      <c r="A108" s="13" t="s">
        <v>110</v>
      </c>
      <c r="B108" s="13" t="s">
        <v>35</v>
      </c>
      <c r="C108" s="14">
        <v>1</v>
      </c>
      <c r="D108" s="15">
        <v>2463</v>
      </c>
      <c r="E108" s="15">
        <v>1820</v>
      </c>
      <c r="F108" s="15">
        <v>643</v>
      </c>
      <c r="G108" s="16">
        <v>9.5698764697127542E-2</v>
      </c>
      <c r="H108" s="17">
        <v>0.03</v>
      </c>
      <c r="I108" s="18">
        <v>76</v>
      </c>
      <c r="J108" s="18">
        <v>6719</v>
      </c>
      <c r="K108" s="19" t="s">
        <v>17</v>
      </c>
      <c r="AA108">
        <f t="shared" si="1"/>
        <v>60</v>
      </c>
    </row>
    <row r="109" spans="1:27" ht="15" thickBot="1">
      <c r="A109" s="13" t="s">
        <v>110</v>
      </c>
      <c r="B109" s="13" t="s">
        <v>16</v>
      </c>
      <c r="C109" s="14">
        <v>1</v>
      </c>
      <c r="D109" s="15">
        <v>791</v>
      </c>
      <c r="E109" s="15">
        <v>457</v>
      </c>
      <c r="F109" s="15">
        <v>334</v>
      </c>
      <c r="G109" s="16">
        <v>4.9709778240809646E-2</v>
      </c>
      <c r="H109" s="17">
        <v>0.03</v>
      </c>
      <c r="I109" s="18">
        <v>146</v>
      </c>
      <c r="J109" s="18">
        <v>6719</v>
      </c>
      <c r="K109" s="19" t="s">
        <v>17</v>
      </c>
      <c r="AA109">
        <f t="shared" si="1"/>
        <v>60</v>
      </c>
    </row>
    <row r="110" spans="1:27" ht="15" thickBot="1">
      <c r="A110" s="13" t="s">
        <v>111</v>
      </c>
      <c r="B110" s="13" t="s">
        <v>38</v>
      </c>
      <c r="C110" s="14">
        <v>1</v>
      </c>
      <c r="D110" s="15">
        <v>2307</v>
      </c>
      <c r="E110" s="15">
        <v>1488</v>
      </c>
      <c r="F110" s="15">
        <v>819</v>
      </c>
      <c r="G110" s="16">
        <v>0.10392082223068139</v>
      </c>
      <c r="H110" s="17">
        <v>0.03</v>
      </c>
      <c r="I110" s="18">
        <v>70</v>
      </c>
      <c r="J110" s="18">
        <v>7881</v>
      </c>
      <c r="K110" s="19" t="s">
        <v>17</v>
      </c>
      <c r="AA110">
        <f t="shared" si="1"/>
        <v>61</v>
      </c>
    </row>
    <row r="111" spans="1:27" ht="15" thickBot="1">
      <c r="A111" s="13" t="s">
        <v>111</v>
      </c>
      <c r="B111" s="13" t="s">
        <v>35</v>
      </c>
      <c r="C111" s="14">
        <v>1</v>
      </c>
      <c r="D111" s="15">
        <v>1573</v>
      </c>
      <c r="E111" s="15">
        <v>924</v>
      </c>
      <c r="F111" s="15">
        <v>649</v>
      </c>
      <c r="G111" s="16">
        <v>8.2349955589392204E-2</v>
      </c>
      <c r="H111" s="17">
        <v>0.03</v>
      </c>
      <c r="I111" s="18">
        <v>88</v>
      </c>
      <c r="J111" s="18">
        <v>7881</v>
      </c>
      <c r="K111" s="19" t="s">
        <v>17</v>
      </c>
      <c r="AA111">
        <f t="shared" si="1"/>
        <v>61</v>
      </c>
    </row>
    <row r="112" spans="1:27" ht="15" thickBot="1">
      <c r="A112" s="13" t="s">
        <v>112</v>
      </c>
      <c r="B112" s="13" t="s">
        <v>113</v>
      </c>
      <c r="C112" s="14">
        <v>1</v>
      </c>
      <c r="D112" s="15">
        <v>994</v>
      </c>
      <c r="E112" s="15">
        <v>552</v>
      </c>
      <c r="F112" s="15">
        <v>442</v>
      </c>
      <c r="G112" s="16">
        <v>0.25475504322766568</v>
      </c>
      <c r="H112" s="17">
        <v>0.03</v>
      </c>
      <c r="I112" s="18">
        <v>28</v>
      </c>
      <c r="J112" s="18">
        <v>1735</v>
      </c>
      <c r="K112" s="19"/>
      <c r="AA112">
        <f t="shared" si="1"/>
        <v>62</v>
      </c>
    </row>
    <row r="113" spans="1:27" ht="15" thickBot="1">
      <c r="A113" s="13" t="s">
        <v>114</v>
      </c>
      <c r="B113" s="13" t="s">
        <v>16</v>
      </c>
      <c r="C113" s="14">
        <v>1</v>
      </c>
      <c r="D113" s="15">
        <v>17179</v>
      </c>
      <c r="E113" s="15">
        <v>12344</v>
      </c>
      <c r="F113" s="15">
        <v>4835</v>
      </c>
      <c r="G113" s="16">
        <v>8.0242303543274413E-2</v>
      </c>
      <c r="H113" s="17">
        <v>0.03</v>
      </c>
      <c r="I113" s="18">
        <v>90</v>
      </c>
      <c r="J113" s="18">
        <v>60255</v>
      </c>
      <c r="K113" s="19" t="s">
        <v>17</v>
      </c>
      <c r="AA113">
        <f t="shared" si="1"/>
        <v>63</v>
      </c>
    </row>
    <row r="114" spans="1:27" ht="15" thickBot="1">
      <c r="A114" s="13" t="s">
        <v>114</v>
      </c>
      <c r="B114" s="13" t="s">
        <v>115</v>
      </c>
      <c r="C114" s="14">
        <v>1</v>
      </c>
      <c r="D114" s="15">
        <v>3691</v>
      </c>
      <c r="E114" s="15">
        <v>2131</v>
      </c>
      <c r="F114" s="15">
        <v>1560</v>
      </c>
      <c r="G114" s="16">
        <v>2.5889967637540454E-2</v>
      </c>
      <c r="H114" s="17">
        <v>0.03</v>
      </c>
      <c r="I114" s="18">
        <v>281</v>
      </c>
      <c r="J114" s="18">
        <v>13382</v>
      </c>
      <c r="K114" s="19" t="s">
        <v>17</v>
      </c>
      <c r="AA114">
        <f t="shared" si="1"/>
        <v>63</v>
      </c>
    </row>
    <row r="115" spans="1:27" ht="15" thickBot="1">
      <c r="A115" s="13" t="s">
        <v>116</v>
      </c>
      <c r="B115" s="13" t="s">
        <v>16</v>
      </c>
      <c r="C115" s="14">
        <v>1</v>
      </c>
      <c r="D115" s="15">
        <v>1143</v>
      </c>
      <c r="E115" s="15">
        <v>777</v>
      </c>
      <c r="F115" s="15">
        <v>366</v>
      </c>
      <c r="G115" s="16">
        <v>0.13015647226173541</v>
      </c>
      <c r="H115" s="17">
        <v>0.03</v>
      </c>
      <c r="I115" s="18">
        <v>55</v>
      </c>
      <c r="J115" s="18">
        <v>2812</v>
      </c>
      <c r="K115" s="19" t="s">
        <v>17</v>
      </c>
      <c r="AA115">
        <f t="shared" si="1"/>
        <v>64</v>
      </c>
    </row>
    <row r="116" spans="1:27">
      <c r="AA116">
        <f t="shared" si="1"/>
        <v>65</v>
      </c>
    </row>
    <row r="117" spans="1:27">
      <c r="AA117">
        <f t="shared" si="1"/>
        <v>65</v>
      </c>
    </row>
    <row r="118" spans="1:27">
      <c r="AA118">
        <f t="shared" si="1"/>
        <v>65</v>
      </c>
    </row>
    <row r="119" spans="1:27">
      <c r="AA119">
        <f t="shared" si="1"/>
        <v>65</v>
      </c>
    </row>
    <row r="120" spans="1:27">
      <c r="AA120">
        <f t="shared" si="1"/>
        <v>65</v>
      </c>
    </row>
    <row r="121" spans="1:27">
      <c r="AA121">
        <f t="shared" si="1"/>
        <v>65</v>
      </c>
    </row>
  </sheetData>
  <mergeCells count="1">
    <mergeCell ref="A1:K1"/>
  </mergeCells>
  <conditionalFormatting sqref="A3:K115">
    <cfRule type="expression" dxfId="0" priority="1">
      <formula>ISODD($AA3)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Danny Casias</dc:creator>
  <cp:keywords/>
  <dc:description/>
  <cp:lastModifiedBy/>
  <cp:revision/>
  <dcterms:created xsi:type="dcterms:W3CDTF">2026-07-02T19:51:33Z</dcterms:created>
  <dcterms:modified xsi:type="dcterms:W3CDTF">2026-07-06T19:06:03Z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e4beaa-c4ba-4ea9-a1f4-4e52626a3d73_Enabled">
    <vt:lpwstr>true</vt:lpwstr>
  </property>
  <property fmtid="{D5CDD505-2E9C-101B-9397-08002B2CF9AE}" pid="3" name="MSIP_Label_59e4beaa-c4ba-4ea9-a1f4-4e52626a3d73_SetDate">
    <vt:lpwstr>2026-07-02T20:02:47Z</vt:lpwstr>
  </property>
  <property fmtid="{D5CDD505-2E9C-101B-9397-08002B2CF9AE}" pid="4" name="MSIP_Label_59e4beaa-c4ba-4ea9-a1f4-4e52626a3d73_Method">
    <vt:lpwstr>Standard</vt:lpwstr>
  </property>
  <property fmtid="{D5CDD505-2E9C-101B-9397-08002B2CF9AE}" pid="5" name="MSIP_Label_59e4beaa-c4ba-4ea9-a1f4-4e52626a3d73_Name">
    <vt:lpwstr>defa4170-0d19-0005-0004-bc88714345d2</vt:lpwstr>
  </property>
  <property fmtid="{D5CDD505-2E9C-101B-9397-08002B2CF9AE}" pid="6" name="MSIP_Label_59e4beaa-c4ba-4ea9-a1f4-4e52626a3d73_SiteId">
    <vt:lpwstr>58e69e55-1d13-4102-aac7-ea2947430191</vt:lpwstr>
  </property>
  <property fmtid="{D5CDD505-2E9C-101B-9397-08002B2CF9AE}" pid="7" name="MSIP_Label_59e4beaa-c4ba-4ea9-a1f4-4e52626a3d73_ActionId">
    <vt:lpwstr>2ef9c173-adcd-450b-8487-be11f209cccd</vt:lpwstr>
  </property>
  <property fmtid="{D5CDD505-2E9C-101B-9397-08002B2CF9AE}" pid="8" name="MSIP_Label_59e4beaa-c4ba-4ea9-a1f4-4e52626a3d73_ContentBits">
    <vt:lpwstr>0</vt:lpwstr>
  </property>
  <property fmtid="{D5CDD505-2E9C-101B-9397-08002B2CF9AE}" pid="9" name="MSIP_Label_59e4beaa-c4ba-4ea9-a1f4-4e52626a3d73_Tag">
    <vt:lpwstr>10, 3, 0, 1</vt:lpwstr>
  </property>
</Properties>
</file>